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mynestapis\gestionsigesp\docs\"/>
    </mc:Choice>
  </mc:AlternateContent>
  <xr:revisionPtr revIDLastSave="0" documentId="11_89EC7C80C5C7E8F32749DAB5B10EA9D0936CDD4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ámetros" sheetId="1" r:id="rId1"/>
    <sheet name="Detalle30" sheetId="2" r:id="rId2"/>
    <sheet name="Horas" sheetId="3" r:id="rId3"/>
    <sheet name="MatrizPrecios" sheetId="4" r:id="rId4"/>
    <sheet name="Cotizador" sheetId="5" r:id="rId5"/>
    <sheet name="Mantenimiento" sheetId="6" r:id="rId6"/>
    <sheet name="Costos" sheetId="7" r:id="rId7"/>
    <sheet name="Instruccion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7" l="1"/>
  <c r="C28" i="7"/>
  <c r="C27" i="7"/>
  <c r="C26" i="7"/>
  <c r="C30" i="7" s="1"/>
  <c r="C25" i="7"/>
  <c r="C24" i="7"/>
  <c r="C23" i="7"/>
  <c r="C19" i="7"/>
  <c r="B18" i="7"/>
  <c r="C18" i="7" s="1"/>
  <c r="C17" i="7"/>
  <c r="B17" i="7"/>
  <c r="C16" i="7"/>
  <c r="B16" i="7"/>
  <c r="C15" i="7"/>
  <c r="B15" i="7"/>
  <c r="B14" i="7"/>
  <c r="C14" i="7" s="1"/>
  <c r="C13" i="7"/>
  <c r="C12" i="7"/>
  <c r="C9" i="7"/>
  <c r="B13" i="6"/>
  <c r="B14" i="6" s="1"/>
  <c r="B12" i="6"/>
  <c r="E7" i="6"/>
  <c r="D7" i="6"/>
  <c r="C7" i="6"/>
  <c r="E6" i="6"/>
  <c r="D6" i="6"/>
  <c r="C6" i="6"/>
  <c r="E5" i="6"/>
  <c r="D5" i="6"/>
  <c r="C5" i="6"/>
  <c r="E4" i="6"/>
  <c r="D4" i="6"/>
  <c r="C4" i="6"/>
  <c r="C31" i="5"/>
  <c r="C25" i="5"/>
  <c r="C23" i="5"/>
  <c r="C22" i="5"/>
  <c r="E13" i="5"/>
  <c r="E12" i="5"/>
  <c r="E11" i="5"/>
  <c r="E10" i="5"/>
  <c r="D19" i="4"/>
  <c r="C19" i="4"/>
  <c r="H19" i="4" s="1"/>
  <c r="D18" i="4"/>
  <c r="G18" i="4" s="1"/>
  <c r="C18" i="4"/>
  <c r="H18" i="4" s="1"/>
  <c r="H17" i="4"/>
  <c r="G17" i="4"/>
  <c r="E17" i="4"/>
  <c r="D17" i="4"/>
  <c r="C17" i="4"/>
  <c r="F17" i="4" s="1"/>
  <c r="E16" i="4"/>
  <c r="D16" i="4"/>
  <c r="C16" i="4"/>
  <c r="F16" i="4" s="1"/>
  <c r="D15" i="4"/>
  <c r="C15" i="4"/>
  <c r="H15" i="4" s="1"/>
  <c r="G14" i="4"/>
  <c r="D14" i="4"/>
  <c r="C14" i="4"/>
  <c r="H14" i="4" s="1"/>
  <c r="H13" i="4"/>
  <c r="G13" i="4"/>
  <c r="E13" i="4"/>
  <c r="D13" i="4"/>
  <c r="C13" i="4"/>
  <c r="F13" i="4" s="1"/>
  <c r="D12" i="4"/>
  <c r="C12" i="4"/>
  <c r="F12" i="4" s="1"/>
  <c r="D11" i="4"/>
  <c r="C11" i="4"/>
  <c r="H11" i="4" s="1"/>
  <c r="G10" i="4"/>
  <c r="D10" i="4"/>
  <c r="C10" i="4"/>
  <c r="H10" i="4" s="1"/>
  <c r="H9" i="4"/>
  <c r="G9" i="4"/>
  <c r="E9" i="4"/>
  <c r="D9" i="4"/>
  <c r="C9" i="4"/>
  <c r="F9" i="4" s="1"/>
  <c r="D8" i="4"/>
  <c r="C8" i="4"/>
  <c r="E8" i="4" s="1"/>
  <c r="C4" i="4"/>
  <c r="E19" i="3"/>
  <c r="E18" i="3"/>
  <c r="E17" i="3"/>
  <c r="E16" i="3"/>
  <c r="E15" i="3"/>
  <c r="E14" i="3"/>
  <c r="E13" i="3"/>
  <c r="E12" i="3"/>
  <c r="E11" i="3"/>
  <c r="E10" i="3"/>
  <c r="E9" i="3"/>
  <c r="E8" i="3"/>
  <c r="D7" i="3"/>
  <c r="D13" i="5" s="1"/>
  <c r="G13" i="5" s="1"/>
  <c r="C4" i="3"/>
  <c r="F17" i="2"/>
  <c r="E17" i="2"/>
  <c r="D6" i="3" s="1"/>
  <c r="D17" i="2"/>
  <c r="D5" i="3" s="1"/>
  <c r="C17" i="2"/>
  <c r="D4" i="3" s="1"/>
  <c r="F12" i="2"/>
  <c r="C7" i="3" s="1"/>
  <c r="E12" i="2"/>
  <c r="E18" i="2" s="1"/>
  <c r="D12" i="2"/>
  <c r="C5" i="3" s="1"/>
  <c r="C12" i="2"/>
  <c r="C18" i="2" s="1"/>
  <c r="D10" i="5" l="1"/>
  <c r="D4" i="4"/>
  <c r="G4" i="4" s="1"/>
  <c r="D11" i="5"/>
  <c r="G11" i="5" s="1"/>
  <c r="D5" i="4"/>
  <c r="D6" i="4"/>
  <c r="D12" i="5"/>
  <c r="G12" i="5" s="1"/>
  <c r="F4" i="4"/>
  <c r="E4" i="3"/>
  <c r="E5" i="3"/>
  <c r="C11" i="5"/>
  <c r="F11" i="5" s="1"/>
  <c r="H11" i="5" s="1"/>
  <c r="C5" i="4"/>
  <c r="E7" i="3"/>
  <c r="C13" i="5"/>
  <c r="F13" i="5" s="1"/>
  <c r="H13" i="5" s="1"/>
  <c r="C7" i="4"/>
  <c r="C20" i="7"/>
  <c r="C32" i="7" s="1"/>
  <c r="C33" i="7" s="1"/>
  <c r="C34" i="7" s="1"/>
  <c r="E12" i="4"/>
  <c r="D7" i="4"/>
  <c r="F8" i="4"/>
  <c r="G8" i="4"/>
  <c r="E11" i="4"/>
  <c r="G12" i="4"/>
  <c r="E15" i="4"/>
  <c r="G16" i="4"/>
  <c r="E19" i="4"/>
  <c r="H8" i="4"/>
  <c r="F15" i="4"/>
  <c r="H16" i="4"/>
  <c r="C6" i="3"/>
  <c r="E10" i="4"/>
  <c r="G11" i="4"/>
  <c r="E14" i="4"/>
  <c r="G15" i="4"/>
  <c r="E18" i="4"/>
  <c r="G19" i="4"/>
  <c r="D18" i="2"/>
  <c r="H4" i="4"/>
  <c r="F11" i="4"/>
  <c r="H12" i="4"/>
  <c r="F19" i="4"/>
  <c r="F18" i="2"/>
  <c r="F10" i="4"/>
  <c r="F14" i="4"/>
  <c r="F18" i="4"/>
  <c r="C10" i="5"/>
  <c r="E4" i="4"/>
  <c r="H7" i="4" l="1"/>
  <c r="G7" i="4"/>
  <c r="F7" i="4"/>
  <c r="E7" i="4"/>
  <c r="F10" i="5"/>
  <c r="E6" i="3"/>
  <c r="C12" i="5"/>
  <c r="F12" i="5" s="1"/>
  <c r="H12" i="5" s="1"/>
  <c r="C6" i="4"/>
  <c r="H5" i="4"/>
  <c r="G5" i="4"/>
  <c r="F5" i="4"/>
  <c r="E5" i="4"/>
  <c r="D15" i="5"/>
  <c r="G10" i="5"/>
  <c r="G15" i="5" s="1"/>
  <c r="C15" i="5" l="1"/>
  <c r="C24" i="5" s="1"/>
  <c r="F15" i="5"/>
  <c r="H10" i="5"/>
  <c r="H15" i="5" s="1"/>
  <c r="H6" i="4"/>
  <c r="F6" i="4"/>
  <c r="E6" i="4"/>
  <c r="G6" i="4"/>
  <c r="C18" i="5" l="1"/>
  <c r="C19" i="5" s="1"/>
  <c r="C17" i="5"/>
  <c r="C27" i="5" l="1"/>
  <c r="C26" i="5"/>
  <c r="C28" i="5" l="1"/>
  <c r="C29" i="5" s="1"/>
  <c r="C30" i="5" s="1"/>
  <c r="C32" i="5" s="1"/>
</calcChain>
</file>

<file path=xl/sharedStrings.xml><?xml version="1.0" encoding="utf-8"?>
<sst xmlns="http://schemas.openxmlformats.org/spreadsheetml/2006/main" count="273" uniqueCount="201">
  <si>
    <t>PARÁMETROS DEL SISTEMA DE CÁLCULO — NORMATIVA SIGESP ERP (Octubre 2026)</t>
  </si>
  <si>
    <t>1. TARIFAS DE VENTA POR ZONA (USD/hora)</t>
  </si>
  <si>
    <t>Zona</t>
  </si>
  <si>
    <t>Tarifa Presencial ($/h)</t>
  </si>
  <si>
    <t>Tarifa Online ($/h)</t>
  </si>
  <si>
    <t>Estados / cobertura</t>
  </si>
  <si>
    <t>Oriental</t>
  </si>
  <si>
    <t>Nueva Esparta, Anzoátegui, Amazonas, Sucre, Monagas, Bolívar, Apure</t>
  </si>
  <si>
    <t>Central</t>
  </si>
  <si>
    <t>Caracas, Miranda, Aragua, Carabobo, Guárico</t>
  </si>
  <si>
    <t>Centroccidental</t>
  </si>
  <si>
    <t>Lara (Barquisimeto y Cabudare), Yaracuy, Portuguesa, Cojedes</t>
  </si>
  <si>
    <t>Occidental</t>
  </si>
  <si>
    <t>Táchira, Mérida, Falcón, Trujillo, Zulia</t>
  </si>
  <si>
    <t>2. COSTOS DE CONSULTORÍA (USD/hora)</t>
  </si>
  <si>
    <t>Costo Presencial ($/h)</t>
  </si>
  <si>
    <t>Costo Online ($/h)</t>
  </si>
  <si>
    <t>Nota</t>
  </si>
  <si>
    <t>Tarifa plana de consultoría</t>
  </si>
  <si>
    <t>Detalle por estado: Yaracuy 20; Acarigua 18; Guanare/Cojedes 22; Barquisimeto/Cabudare 12; Quíbor/Morán 14 (se usó 20 como promedio).</t>
  </si>
  <si>
    <t>El costo de hora online no lo fija la normativa original; aquí se propone 18 $/h (60% del presencial). Ajústelo en la columna C.</t>
  </si>
  <si>
    <t>3. OTROS PARÁMETROS</t>
  </si>
  <si>
    <t>% Impuesto sobre la renta (ISLR)</t>
  </si>
  <si>
    <t>Regla 1.3.1.4 — 1% del monto recibido</t>
  </si>
  <si>
    <t>% Impuesto municipal (actividades económicas)</t>
  </si>
  <si>
    <t>Regla 1.3.1.4.1.3.1 — 3%</t>
  </si>
  <si>
    <t>% Gobernación</t>
  </si>
  <si>
    <t>Regla 1.3.1.4.1.3.1 — 1%</t>
  </si>
  <si>
    <t>% Responsabilidad social</t>
  </si>
  <si>
    <t>Regla de registro — 3% del monto recibido</t>
  </si>
  <si>
    <t>% Fianzas / retención sustitutiva</t>
  </si>
  <si>
    <t>10% cuando no se acepta retención</t>
  </si>
  <si>
    <t>% Costos y gastos indirectos (sobre ingreso)</t>
  </si>
  <si>
    <t>Sugerido; la normativa lo estima por proyecto</t>
  </si>
  <si>
    <t>% Utilidad objetivo mínima</t>
  </si>
  <si>
    <t>Umbral de control de rentabilidad</t>
  </si>
  <si>
    <t>Índice de inflación acumulado (base Oct-2026 = 1,00)</t>
  </si>
  <si>
    <t>Precio_mes = Precio_base × índice. Actualícelo con la variación BCV.</t>
  </si>
  <si>
    <t>Tramos de usuarios (lista auxiliar)</t>
  </si>
  <si>
    <t>DETALLE DE ACTIVIDADES — IMPLANTACIÓN HASTA 30 USUARIOS (editable)</t>
  </si>
  <si>
    <t>Al modificar estas horas, la hoja 'Horas' y la 'MatrizPrecios' se recalculan solas.</t>
  </si>
  <si>
    <t>Horas por actividad y alcance</t>
  </si>
  <si>
    <t>Actividad</t>
  </si>
  <si>
    <t>Tipo</t>
  </si>
  <si>
    <t>Admon sin nómina (A1)</t>
  </si>
  <si>
    <t>Admon con nómina (A2)</t>
  </si>
  <si>
    <t>Admon + Comercial (A3)</t>
  </si>
  <si>
    <t>Admon + Com. + Producción (A4)</t>
  </si>
  <si>
    <t>Creación del comité de implantación</t>
  </si>
  <si>
    <t>Presencial</t>
  </si>
  <si>
    <t>Presentación del sistema a todos los usuarios</t>
  </si>
  <si>
    <t>Levantamiento presencial de la información</t>
  </si>
  <si>
    <t>Certificación de los datos migrados</t>
  </si>
  <si>
    <t>Capacitación del personal para carga de datos</t>
  </si>
  <si>
    <t>Capacitación simulada del sistema</t>
  </si>
  <si>
    <t>Capacitación en vivo</t>
  </si>
  <si>
    <t>SUBTOTAL PRESENCIAL</t>
  </si>
  <si>
    <t>Configuración del sistema y datos básicos</t>
  </si>
  <si>
    <t>Online</t>
  </si>
  <si>
    <t>Migración de los datos</t>
  </si>
  <si>
    <t>Cambios solicitados en reportes o procesos</t>
  </si>
  <si>
    <t>Mantenimiento 3 meses (incluido en la venta)</t>
  </si>
  <si>
    <t>SUBTOTAL ONLINE</t>
  </si>
  <si>
    <t>TOTAL HORAS</t>
  </si>
  <si>
    <t>Clasificación aplicada (implícita en la normativa): Presencial = comité, presentación, levantamiento, certificación y capacitaciones. Online = configuración, migración, cambios y mantenimiento.</t>
  </si>
  <si>
    <t>HORAS ESTIMADAS POR TRAMO DE USUARIOS Y ALCANCE</t>
  </si>
  <si>
    <t>Tramo usuarios</t>
  </si>
  <si>
    <t>Alcance</t>
  </si>
  <si>
    <t>Horas Presenciales</t>
  </si>
  <si>
    <t>Horas Online</t>
  </si>
  <si>
    <t>Total</t>
  </si>
  <si>
    <t>Admin sin nómina</t>
  </si>
  <si>
    <t>Admin con nómina</t>
  </si>
  <si>
    <t>Admin + Comercial</t>
  </si>
  <si>
    <t>Admin + Comercial + Producción</t>
  </si>
  <si>
    <t>Para tramos mayores a 30 usuarios la normativa solo ofrece totales (no el detalle por actividad).</t>
  </si>
  <si>
    <t>MATRIZ DE PRECIOS DE IMPLANTACIÓN (calculada automáticamente)</t>
  </si>
  <si>
    <t>Precio = Horas Presenciales × Tarifa_zona + Horas Online × Tarifa_online. Cambie tarifas en 'Parámetros'.</t>
  </si>
  <si>
    <t>Tramo</t>
  </si>
  <si>
    <t>Horas Pres.</t>
  </si>
  <si>
    <t>La fila '30 – Admin + Comercial + Producción / Centroccidental' ya sale corregida (51.760,00) frente al error del documento (58.221,00).</t>
  </si>
  <si>
    <t>COTIZADOR DE IMPLANTACIÓN SIGESP ERP</t>
  </si>
  <si>
    <t>Zona:</t>
  </si>
  <si>
    <t>Tramo de usuarios:</t>
  </si>
  <si>
    <t>N° de usuarios (informativo):</t>
  </si>
  <si>
    <t>Descuento (%):</t>
  </si>
  <si>
    <t>Cliente / proyecto:</t>
  </si>
  <si>
    <t>DETALLE POR ALCANCE — Alcance</t>
  </si>
  <si>
    <t>Incluir</t>
  </si>
  <si>
    <t>Tarifa Pres. ($/h)</t>
  </si>
  <si>
    <t>Precio Pres. ($)</t>
  </si>
  <si>
    <t>Precio Online ($)</t>
  </si>
  <si>
    <t>Subtotal ($)</t>
  </si>
  <si>
    <t>Sí</t>
  </si>
  <si>
    <t>TOTALES (solo alcances incluidos)</t>
  </si>
  <si>
    <t>Subtotal cotización ($)</t>
  </si>
  <si>
    <t>Descuento aplicado ($)</t>
  </si>
  <si>
    <t>TOTAL A COTIZAR ($)</t>
  </si>
  <si>
    <t>Análisis de costos y rentabilidad</t>
  </si>
  <si>
    <t>Costo hora consultor presencial ($/h)</t>
  </si>
  <si>
    <t>Costo hora online ($/h)</t>
  </si>
  <si>
    <t>Costo directo de consultoría ($)</t>
  </si>
  <si>
    <t>Otros costos directos (% del ingreso)</t>
  </si>
  <si>
    <t>Otros costos directos ($)</t>
  </si>
  <si>
    <t>Costos indirectos ($)</t>
  </si>
  <si>
    <t>TOTAL COSTOS ($)</t>
  </si>
  <si>
    <t>Utilidad estimada ($)</t>
  </si>
  <si>
    <t>Margen (%)</t>
  </si>
  <si>
    <t>Objetivo mínimo (%)</t>
  </si>
  <si>
    <t>Control de rentabilidad</t>
  </si>
  <si>
    <t>SERVICIOS DE MANTENIMIENTO ONLINE</t>
  </si>
  <si>
    <t>TARIFARIO — Rango de usuarios</t>
  </si>
  <si>
    <t>Mensual</t>
  </si>
  <si>
    <t>Trimestral</t>
  </si>
  <si>
    <t>Semestral</t>
  </si>
  <si>
    <t>Anual</t>
  </si>
  <si>
    <t>Hasta 30</t>
  </si>
  <si>
    <t>31 a 60</t>
  </si>
  <si>
    <t>61 a 120</t>
  </si>
  <si>
    <t>Más de 120</t>
  </si>
  <si>
    <t>Simulador</t>
  </si>
  <si>
    <t>Rango de usuarios:</t>
  </si>
  <si>
    <t>Plan:</t>
  </si>
  <si>
    <t>Precio del plan ($):</t>
  </si>
  <si>
    <t>Valor de 3 meses incluidos en la implantación ($):</t>
  </si>
  <si>
    <t>Horas equivalentes (tarifa online 55 $/h):</t>
  </si>
  <si>
    <t>La normativa valora los 3 meses gratuitos como 60–130 horas (3.300–7.150 $), distinto de la tarifa de mantenimiento (1.200–4.500 $). Este simulador unifica el criterio por tarifa.</t>
  </si>
  <si>
    <t>DISTRIBUCIÓN DE COSTOS, GASTOS Y RENTABILIDAD</t>
  </si>
  <si>
    <t>Entrada</t>
  </si>
  <si>
    <t>Ingreso neto cobrado ($)</t>
  </si>
  <si>
    <t>Horas presenciales facturadas</t>
  </si>
  <si>
    <t>Horas online facturadas</t>
  </si>
  <si>
    <t>Costo hora presencial ($/h)</t>
  </si>
  <si>
    <t>Total horas</t>
  </si>
  <si>
    <t>COSTOS DIRECTOS — Concepto</t>
  </si>
  <si>
    <t>% del ingreso</t>
  </si>
  <si>
    <t>Monto ($)</t>
  </si>
  <si>
    <t>Consultoría presencial</t>
  </si>
  <si>
    <t>horas × costo</t>
  </si>
  <si>
    <t>Consultoría online</t>
  </si>
  <si>
    <t>Impuesto sobre la renta (ISLR)</t>
  </si>
  <si>
    <t>1% del monto</t>
  </si>
  <si>
    <t>Impuesto municipal (act. económicas)</t>
  </si>
  <si>
    <t>3% del monto</t>
  </si>
  <si>
    <t>Gobernación</t>
  </si>
  <si>
    <t>Responsabilidad social</t>
  </si>
  <si>
    <t>Fianzas / retención</t>
  </si>
  <si>
    <t>si no se acepta retención</t>
  </si>
  <si>
    <t>Otros directos</t>
  </si>
  <si>
    <t>ajustable</t>
  </si>
  <si>
    <t>TOTAL COSTOS DIRECTOS</t>
  </si>
  <si>
    <t>COSTOS INDIRECTOS — Concepto</t>
  </si>
  <si>
    <t>Honorarios a directivos</t>
  </si>
  <si>
    <t>propuesto como % fijo</t>
  </si>
  <si>
    <t>Honorarios administración y desarrollo</t>
  </si>
  <si>
    <t>de la venta neta</t>
  </si>
  <si>
    <t>Otros gastos de servicios / personal</t>
  </si>
  <si>
    <t>distribución mensual</t>
  </si>
  <si>
    <t>Impuestos actividades económicas SIGESP</t>
  </si>
  <si>
    <t>Servicios generales (agua, luz, tel.)</t>
  </si>
  <si>
    <t>1,5% del bruto</t>
  </si>
  <si>
    <t>Servidores e IA</t>
  </si>
  <si>
    <t>estimado</t>
  </si>
  <si>
    <t>Reposición de mobiliario y equipos</t>
  </si>
  <si>
    <t>TOTAL COSTOS INDIRECTOS</t>
  </si>
  <si>
    <t>TOTAL COSTOS</t>
  </si>
  <si>
    <t>UTILIDAD ESTIMADA</t>
  </si>
  <si>
    <t>MARGEN</t>
  </si>
  <si>
    <t>VERIFICACIÓN DE EJEMPLOS — Concepto</t>
  </si>
  <si>
    <t>Documento</t>
  </si>
  <si>
    <t>Correcto</t>
  </si>
  <si>
    <t>Observación</t>
  </si>
  <si>
    <t>Ej. 1 — Otros costos directos de venta</t>
  </si>
  <si>
    <t>Los componentes (300+200+600+1.500) suman 2.600, no 2.200.</t>
  </si>
  <si>
    <t>Ej. 2 — Costos indirectos</t>
  </si>
  <si>
    <t>Los componentes suman 11.200. Con 11.200 el costo total es 18.300 y la utilidad cae a ~100.</t>
  </si>
  <si>
    <t>Ej. 1 — Responsabilidad social (3%)</t>
  </si>
  <si>
    <t>3% de 32.000 = 960.</t>
  </si>
  <si>
    <t>Ej. 2 — ISLR (1%)</t>
  </si>
  <si>
    <t>1% de 18.400 = 184; el documento usa 3,8%.</t>
  </si>
  <si>
    <t>INSTRUCCIONES DE USO DEL SISTEMA DE CÁLCULO</t>
  </si>
  <si>
    <t>1) Todo el libro está enlazado por fórmulas. Las celdas amarillas son entradas editables; las demás se calculan.</t>
  </si>
  <si>
    <t>2) Hoja 'Parámetros': tarifas por zona, costos de consultoría, porcentajes de costos/impuestos y utilidad objetivo.</t>
  </si>
  <si>
    <t xml:space="preserve">   Cambiar aquí una tarifa actualiza automáticamente la matriz de precios y el cotizador.</t>
  </si>
  <si>
    <t>3) Hoja 'Detalle30': actividades de implantación hasta 30 usuarios. Puede editar horas; las hojas 'Horas' y</t>
  </si>
  <si>
    <t xml:space="preserve">   'MatrizPrecios' se recalculan. La clasificación presencial/online aplicada es:</t>
  </si>
  <si>
    <t xml:space="preserve">       Presencial = comité, presentación, levantamiento, certificación y capacitaciones.</t>
  </si>
  <si>
    <t xml:space="preserve">       Online     = configuración, migración, cambios y mantenimiento.</t>
  </si>
  <si>
    <t>4) Hoja 'Horas': horas por tramo (30/50/100/150 usuarios) y alcance. Para tramos &gt;30 la normativa solo da totales.</t>
  </si>
  <si>
    <t>5) Hoja 'MatrizPrecios': precio de cada combinación tramo × alcance × zona, recalculado con las tarifas vigentes.</t>
  </si>
  <si>
    <t xml:space="preserve">   El precio de Centroccidental / A4 / 30 usuarios sale corregido (51.760,00) frente al error del documento (58.221,00).</t>
  </si>
  <si>
    <t>6) Hoja 'Cotizador': seleccione Zona y Tramo, marque con 'Sí' los alcances a incluir y obtenga el precio,</t>
  </si>
  <si>
    <t xml:space="preserve">   el descuento, el costo directo/indirecto, la utilidad y el margen. El control indica si cumple el objetivo.</t>
  </si>
  <si>
    <t>7) Hoja 'Mantenimiento': tarifario mensual/trimestral/semestral/anual y valoración de los 3 meses incluidos.</t>
  </si>
  <si>
    <t>8) Hoja 'Costos': distribución de costos y verificación numérica de los ejemplos del documento.</t>
  </si>
  <si>
    <t>9) Erratas corregidas en este sistema (detalle en la hoja 'Costos' y en el informe de evaluación):</t>
  </si>
  <si>
    <t xml:space="preserve">   - Centroccidental A4 (30 usuarios): 58.221 -&gt; 51.760.</t>
  </si>
  <si>
    <t xml:space="preserve">   - Totales de grupos multiplicadores (Central A3, Central A4, Centrocc. A4, Occidental A2).</t>
  </si>
  <si>
    <t xml:space="preserve">   - Ejemplo 1 y Ejemplo 2: sumas de costos directos/indirectos inconsistentes.</t>
  </si>
  <si>
    <t xml:space="preserve">   - Costo de hora online no definido en la normativa (aquí parametrizado en 18 $/h).</t>
  </si>
  <si>
    <t>10) Indexación: actualice el índice de inflación (Parámetros!B25) mensualmente según BCV y multiplíquelo por los precios.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</si>
</sst>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i/>
      <sz val="9"/>
      <color rgb="FF7F7F7F"/>
      <name val="Calibri"/>
    </font>
    <font>
      <b/>
      <sz val="12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4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C5" sqref="C5"/>
    </sheetView>
  </sheetViews>
  <sheetFormatPr baseColWidth="10" defaultColWidth="8.88671875" defaultRowHeight="14.4" x14ac:dyDescent="0.3"/>
  <cols>
    <col min="1" max="1" width="42" customWidth="1"/>
    <col min="2" max="2" width="20" customWidth="1"/>
    <col min="3" max="3" width="18" customWidth="1"/>
    <col min="4" max="4" width="14" customWidth="1"/>
    <col min="5" max="5" width="52" customWidth="1"/>
  </cols>
  <sheetData>
    <row r="1" spans="1:5" ht="24" customHeight="1" x14ac:dyDescent="0.3">
      <c r="A1" s="33" t="s">
        <v>0</v>
      </c>
      <c r="B1" s="32"/>
      <c r="C1" s="32"/>
      <c r="D1" s="32"/>
      <c r="E1" s="32"/>
    </row>
    <row r="3" spans="1:5" ht="19.95" customHeight="1" x14ac:dyDescent="0.3">
      <c r="A3" s="31" t="s">
        <v>1</v>
      </c>
      <c r="B3" s="32"/>
      <c r="C3" s="32"/>
      <c r="D3" s="32"/>
      <c r="E3" s="32"/>
    </row>
    <row r="4" spans="1:5" ht="30" customHeight="1" x14ac:dyDescent="0.3">
      <c r="A4" s="1" t="s">
        <v>2</v>
      </c>
      <c r="B4" s="1" t="s">
        <v>3</v>
      </c>
      <c r="C4" s="1" t="s">
        <v>4</v>
      </c>
      <c r="D4" s="1"/>
      <c r="E4" s="1" t="s">
        <v>5</v>
      </c>
    </row>
    <row r="5" spans="1:5" ht="28.8" x14ac:dyDescent="0.3">
      <c r="A5" s="2" t="s">
        <v>6</v>
      </c>
      <c r="B5" s="3">
        <v>115</v>
      </c>
      <c r="C5" s="3">
        <v>55</v>
      </c>
      <c r="E5" s="4" t="s">
        <v>7</v>
      </c>
    </row>
    <row r="6" spans="1:5" x14ac:dyDescent="0.3">
      <c r="A6" s="2" t="s">
        <v>8</v>
      </c>
      <c r="B6" s="3">
        <v>90</v>
      </c>
      <c r="C6" s="3">
        <v>55</v>
      </c>
      <c r="E6" s="4" t="s">
        <v>9</v>
      </c>
    </row>
    <row r="7" spans="1:5" x14ac:dyDescent="0.3">
      <c r="A7" s="2" t="s">
        <v>10</v>
      </c>
      <c r="B7" s="3">
        <v>70</v>
      </c>
      <c r="C7" s="3">
        <v>55</v>
      </c>
      <c r="E7" s="4" t="s">
        <v>11</v>
      </c>
    </row>
    <row r="8" spans="1:5" x14ac:dyDescent="0.3">
      <c r="A8" s="2" t="s">
        <v>12</v>
      </c>
      <c r="B8" s="3">
        <v>105</v>
      </c>
      <c r="C8" s="3">
        <v>55</v>
      </c>
      <c r="E8" s="4" t="s">
        <v>13</v>
      </c>
    </row>
    <row r="10" spans="1:5" ht="19.95" customHeight="1" x14ac:dyDescent="0.3">
      <c r="A10" s="31" t="s">
        <v>14</v>
      </c>
      <c r="B10" s="32"/>
      <c r="C10" s="32"/>
      <c r="D10" s="32"/>
      <c r="E10" s="32"/>
    </row>
    <row r="11" spans="1:5" ht="30" customHeight="1" x14ac:dyDescent="0.3">
      <c r="A11" s="1" t="s">
        <v>2</v>
      </c>
      <c r="B11" s="1" t="s">
        <v>15</v>
      </c>
      <c r="C11" s="1" t="s">
        <v>16</v>
      </c>
      <c r="D11" s="1"/>
      <c r="E11" s="5" t="s">
        <v>17</v>
      </c>
    </row>
    <row r="12" spans="1:5" x14ac:dyDescent="0.3">
      <c r="A12" s="2" t="s">
        <v>6</v>
      </c>
      <c r="B12" s="3">
        <v>30</v>
      </c>
      <c r="C12" s="3">
        <v>18</v>
      </c>
      <c r="E12" s="4" t="s">
        <v>18</v>
      </c>
    </row>
    <row r="13" spans="1:5" x14ac:dyDescent="0.3">
      <c r="A13" s="2" t="s">
        <v>8</v>
      </c>
      <c r="B13" s="3">
        <v>30</v>
      </c>
      <c r="C13" s="3">
        <v>18</v>
      </c>
      <c r="E13" s="4" t="s">
        <v>18</v>
      </c>
    </row>
    <row r="14" spans="1:5" ht="43.2" x14ac:dyDescent="0.3">
      <c r="A14" s="2" t="s">
        <v>10</v>
      </c>
      <c r="B14" s="3">
        <v>20</v>
      </c>
      <c r="C14" s="3">
        <v>18</v>
      </c>
      <c r="E14" s="4" t="s">
        <v>19</v>
      </c>
    </row>
    <row r="15" spans="1:5" x14ac:dyDescent="0.3">
      <c r="A15" s="2" t="s">
        <v>12</v>
      </c>
      <c r="B15" s="3">
        <v>30</v>
      </c>
      <c r="C15" s="3">
        <v>18</v>
      </c>
      <c r="E15" s="4" t="s">
        <v>18</v>
      </c>
    </row>
    <row r="16" spans="1:5" x14ac:dyDescent="0.3">
      <c r="A16" s="6" t="s">
        <v>20</v>
      </c>
    </row>
    <row r="17" spans="1:5" ht="19.95" customHeight="1" x14ac:dyDescent="0.3">
      <c r="A17" s="31" t="s">
        <v>21</v>
      </c>
      <c r="B17" s="32"/>
      <c r="C17" s="32"/>
      <c r="D17" s="32"/>
      <c r="E17" s="32"/>
    </row>
    <row r="18" spans="1:5" x14ac:dyDescent="0.3">
      <c r="A18" s="7" t="s">
        <v>22</v>
      </c>
      <c r="B18" s="8">
        <v>0.01</v>
      </c>
      <c r="E18" s="4" t="s">
        <v>23</v>
      </c>
    </row>
    <row r="19" spans="1:5" x14ac:dyDescent="0.3">
      <c r="A19" s="7" t="s">
        <v>24</v>
      </c>
      <c r="B19" s="8">
        <v>0.03</v>
      </c>
      <c r="E19" s="4" t="s">
        <v>25</v>
      </c>
    </row>
    <row r="20" spans="1:5" x14ac:dyDescent="0.3">
      <c r="A20" s="7" t="s">
        <v>26</v>
      </c>
      <c r="B20" s="8">
        <v>0.01</v>
      </c>
      <c r="E20" s="4" t="s">
        <v>27</v>
      </c>
    </row>
    <row r="21" spans="1:5" x14ac:dyDescent="0.3">
      <c r="A21" s="7" t="s">
        <v>28</v>
      </c>
      <c r="B21" s="8">
        <v>0.03</v>
      </c>
      <c r="E21" s="4" t="s">
        <v>29</v>
      </c>
    </row>
    <row r="22" spans="1:5" x14ac:dyDescent="0.3">
      <c r="A22" s="7" t="s">
        <v>30</v>
      </c>
      <c r="B22" s="8">
        <v>0.1</v>
      </c>
      <c r="E22" s="4" t="s">
        <v>31</v>
      </c>
    </row>
    <row r="23" spans="1:5" x14ac:dyDescent="0.3">
      <c r="A23" s="7" t="s">
        <v>32</v>
      </c>
      <c r="B23" s="8">
        <v>0.35</v>
      </c>
      <c r="E23" s="4" t="s">
        <v>33</v>
      </c>
    </row>
    <row r="24" spans="1:5" x14ac:dyDescent="0.3">
      <c r="A24" s="7" t="s">
        <v>34</v>
      </c>
      <c r="B24" s="8">
        <v>0.3</v>
      </c>
      <c r="E24" s="4" t="s">
        <v>35</v>
      </c>
    </row>
    <row r="25" spans="1:5" ht="28.8" x14ac:dyDescent="0.3">
      <c r="A25" s="7" t="s">
        <v>36</v>
      </c>
      <c r="B25" s="9">
        <v>1</v>
      </c>
      <c r="E25" s="4" t="s">
        <v>37</v>
      </c>
    </row>
    <row r="28" spans="1:5" x14ac:dyDescent="0.3">
      <c r="E28" s="10" t="s">
        <v>38</v>
      </c>
    </row>
    <row r="29" spans="1:5" x14ac:dyDescent="0.3">
      <c r="E29" s="11">
        <v>30</v>
      </c>
    </row>
    <row r="30" spans="1:5" x14ac:dyDescent="0.3">
      <c r="E30" s="11">
        <v>50</v>
      </c>
    </row>
    <row r="31" spans="1:5" x14ac:dyDescent="0.3">
      <c r="E31" s="11">
        <v>100</v>
      </c>
    </row>
    <row r="32" spans="1:5" x14ac:dyDescent="0.3">
      <c r="E32" s="11">
        <v>150</v>
      </c>
    </row>
  </sheetData>
  <mergeCells count="4">
    <mergeCell ref="A10:E10"/>
    <mergeCell ref="A1:E1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sqref="A1:F1"/>
    </sheetView>
  </sheetViews>
  <sheetFormatPr baseColWidth="10" defaultColWidth="8.88671875" defaultRowHeight="14.4" x14ac:dyDescent="0.3"/>
  <cols>
    <col min="1" max="1" width="48" customWidth="1"/>
    <col min="2" max="2" width="12" customWidth="1"/>
    <col min="3" max="5" width="16" customWidth="1"/>
    <col min="6" max="6" width="18" customWidth="1"/>
  </cols>
  <sheetData>
    <row r="1" spans="1:6" ht="24" customHeight="1" x14ac:dyDescent="0.3">
      <c r="A1" s="33" t="s">
        <v>39</v>
      </c>
      <c r="B1" s="32"/>
      <c r="C1" s="32"/>
      <c r="D1" s="32"/>
      <c r="E1" s="32"/>
      <c r="F1" s="32"/>
    </row>
    <row r="2" spans="1:6" x14ac:dyDescent="0.3">
      <c r="A2" s="6" t="s">
        <v>40</v>
      </c>
    </row>
    <row r="3" spans="1:6" ht="19.95" customHeight="1" x14ac:dyDescent="0.3">
      <c r="A3" s="31" t="s">
        <v>41</v>
      </c>
      <c r="B3" s="32"/>
      <c r="C3" s="32"/>
      <c r="D3" s="32"/>
      <c r="E3" s="32"/>
      <c r="F3" s="32"/>
    </row>
    <row r="4" spans="1:6" ht="30" customHeight="1" x14ac:dyDescent="0.3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</row>
    <row r="5" spans="1:6" x14ac:dyDescent="0.3">
      <c r="A5" s="4" t="s">
        <v>48</v>
      </c>
      <c r="B5" s="12" t="s">
        <v>49</v>
      </c>
      <c r="C5" s="12">
        <v>2</v>
      </c>
      <c r="D5" s="12">
        <v>2</v>
      </c>
      <c r="E5" s="12">
        <v>2</v>
      </c>
      <c r="F5" s="12">
        <v>2</v>
      </c>
    </row>
    <row r="6" spans="1:6" x14ac:dyDescent="0.3">
      <c r="A6" s="4" t="s">
        <v>50</v>
      </c>
      <c r="B6" s="12" t="s">
        <v>49</v>
      </c>
      <c r="C6" s="12">
        <v>3</v>
      </c>
      <c r="D6" s="12">
        <v>3</v>
      </c>
      <c r="E6" s="12">
        <v>3</v>
      </c>
      <c r="F6" s="12">
        <v>3</v>
      </c>
    </row>
    <row r="7" spans="1:6" x14ac:dyDescent="0.3">
      <c r="A7" s="4" t="s">
        <v>51</v>
      </c>
      <c r="B7" s="12" t="s">
        <v>49</v>
      </c>
      <c r="C7" s="12">
        <v>12</v>
      </c>
      <c r="D7" s="12">
        <v>18</v>
      </c>
      <c r="E7" s="12">
        <v>25</v>
      </c>
      <c r="F7" s="12">
        <v>40</v>
      </c>
    </row>
    <row r="8" spans="1:6" x14ac:dyDescent="0.3">
      <c r="A8" s="4" t="s">
        <v>52</v>
      </c>
      <c r="B8" s="12" t="s">
        <v>49</v>
      </c>
      <c r="C8" s="12">
        <v>12</v>
      </c>
      <c r="D8" s="12">
        <v>18</v>
      </c>
      <c r="E8" s="12">
        <v>24</v>
      </c>
      <c r="F8" s="12">
        <v>32</v>
      </c>
    </row>
    <row r="9" spans="1:6" x14ac:dyDescent="0.3">
      <c r="A9" s="4" t="s">
        <v>53</v>
      </c>
      <c r="B9" s="12" t="s">
        <v>49</v>
      </c>
      <c r="C9" s="12">
        <v>12</v>
      </c>
      <c r="D9" s="12">
        <v>18</v>
      </c>
      <c r="E9" s="12">
        <v>22</v>
      </c>
      <c r="F9" s="12">
        <v>30</v>
      </c>
    </row>
    <row r="10" spans="1:6" x14ac:dyDescent="0.3">
      <c r="A10" s="4" t="s">
        <v>54</v>
      </c>
      <c r="B10" s="12" t="s">
        <v>49</v>
      </c>
      <c r="C10" s="12">
        <v>18</v>
      </c>
      <c r="D10" s="12">
        <v>18</v>
      </c>
      <c r="E10" s="12">
        <v>24</v>
      </c>
      <c r="F10" s="12">
        <v>36</v>
      </c>
    </row>
    <row r="11" spans="1:6" x14ac:dyDescent="0.3">
      <c r="A11" s="4" t="s">
        <v>55</v>
      </c>
      <c r="B11" s="12" t="s">
        <v>49</v>
      </c>
      <c r="C11" s="12">
        <v>60</v>
      </c>
      <c r="D11" s="12">
        <v>110</v>
      </c>
      <c r="E11" s="12">
        <v>140</v>
      </c>
      <c r="F11" s="12">
        <v>180</v>
      </c>
    </row>
    <row r="12" spans="1:6" x14ac:dyDescent="0.3">
      <c r="A12" s="13" t="s">
        <v>56</v>
      </c>
      <c r="B12" s="14"/>
      <c r="C12" s="15">
        <f>SUM(C5:C11)</f>
        <v>119</v>
      </c>
      <c r="D12" s="15">
        <f>SUM(D5:D11)</f>
        <v>187</v>
      </c>
      <c r="E12" s="15">
        <f>SUM(E5:E11)</f>
        <v>240</v>
      </c>
      <c r="F12" s="15">
        <f>SUM(F5:F11)</f>
        <v>323</v>
      </c>
    </row>
    <row r="13" spans="1:6" x14ac:dyDescent="0.3">
      <c r="A13" s="4" t="s">
        <v>57</v>
      </c>
      <c r="B13" s="12" t="s">
        <v>58</v>
      </c>
      <c r="C13" s="12">
        <v>35</v>
      </c>
      <c r="D13" s="12">
        <v>60</v>
      </c>
      <c r="E13" s="12">
        <v>80</v>
      </c>
      <c r="F13" s="12">
        <v>120</v>
      </c>
    </row>
    <row r="14" spans="1:6" x14ac:dyDescent="0.3">
      <c r="A14" s="4" t="s">
        <v>59</v>
      </c>
      <c r="B14" s="12" t="s">
        <v>58</v>
      </c>
      <c r="C14" s="12">
        <v>35</v>
      </c>
      <c r="D14" s="12">
        <v>60</v>
      </c>
      <c r="E14" s="12">
        <v>80</v>
      </c>
      <c r="F14" s="12">
        <v>120</v>
      </c>
    </row>
    <row r="15" spans="1:6" x14ac:dyDescent="0.3">
      <c r="A15" s="4" t="s">
        <v>60</v>
      </c>
      <c r="B15" s="12" t="s">
        <v>58</v>
      </c>
      <c r="C15" s="12">
        <v>45</v>
      </c>
      <c r="D15" s="12">
        <v>75</v>
      </c>
      <c r="E15" s="12">
        <v>100</v>
      </c>
      <c r="F15" s="12">
        <v>160</v>
      </c>
    </row>
    <row r="16" spans="1:6" x14ac:dyDescent="0.3">
      <c r="A16" s="4" t="s">
        <v>61</v>
      </c>
      <c r="B16" s="12" t="s">
        <v>58</v>
      </c>
      <c r="C16" s="12">
        <v>60</v>
      </c>
      <c r="D16" s="12">
        <v>80</v>
      </c>
      <c r="E16" s="12">
        <v>100</v>
      </c>
      <c r="F16" s="12">
        <v>130</v>
      </c>
    </row>
    <row r="17" spans="1:6" x14ac:dyDescent="0.3">
      <c r="A17" s="13" t="s">
        <v>62</v>
      </c>
      <c r="B17" s="14"/>
      <c r="C17" s="15">
        <f>SUM(C13:C16)</f>
        <v>175</v>
      </c>
      <c r="D17" s="15">
        <f>SUM(D13:D16)</f>
        <v>275</v>
      </c>
      <c r="E17" s="15">
        <f>SUM(E13:E16)</f>
        <v>360</v>
      </c>
      <c r="F17" s="15">
        <f>SUM(F13:F16)</f>
        <v>530</v>
      </c>
    </row>
    <row r="18" spans="1:6" x14ac:dyDescent="0.3">
      <c r="A18" s="16" t="s">
        <v>63</v>
      </c>
      <c r="B18" s="17"/>
      <c r="C18" s="18">
        <f>C12+C17</f>
        <v>294</v>
      </c>
      <c r="D18" s="18">
        <f>D12+D17</f>
        <v>462</v>
      </c>
      <c r="E18" s="18">
        <f>E12+E17</f>
        <v>600</v>
      </c>
      <c r="F18" s="18">
        <f>F12+F17</f>
        <v>853</v>
      </c>
    </row>
    <row r="20" spans="1:6" x14ac:dyDescent="0.3">
      <c r="A20" s="6" t="s">
        <v>64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sqref="A1:E1"/>
    </sheetView>
  </sheetViews>
  <sheetFormatPr baseColWidth="10" defaultColWidth="8.88671875" defaultRowHeight="14.4" x14ac:dyDescent="0.3"/>
  <cols>
    <col min="1" max="1" width="16" customWidth="1"/>
    <col min="2" max="2" width="34" customWidth="1"/>
    <col min="3" max="3" width="20" customWidth="1"/>
    <col min="4" max="4" width="18" customWidth="1"/>
    <col min="5" max="5" width="14" customWidth="1"/>
  </cols>
  <sheetData>
    <row r="1" spans="1:5" ht="24" customHeight="1" x14ac:dyDescent="0.3">
      <c r="A1" s="33" t="s">
        <v>65</v>
      </c>
      <c r="B1" s="32"/>
      <c r="C1" s="32"/>
      <c r="D1" s="32"/>
      <c r="E1" s="32"/>
    </row>
    <row r="3" spans="1:5" ht="30" customHeight="1" x14ac:dyDescent="0.3">
      <c r="A3" s="1" t="s">
        <v>66</v>
      </c>
      <c r="B3" s="1" t="s">
        <v>67</v>
      </c>
      <c r="C3" s="1" t="s">
        <v>68</v>
      </c>
      <c r="D3" s="1" t="s">
        <v>69</v>
      </c>
      <c r="E3" s="1" t="s">
        <v>70</v>
      </c>
    </row>
    <row r="4" spans="1:5" x14ac:dyDescent="0.3">
      <c r="A4" s="12">
        <v>30</v>
      </c>
      <c r="B4" s="7" t="s">
        <v>71</v>
      </c>
      <c r="C4" s="12">
        <f>Detalle30!C12</f>
        <v>119</v>
      </c>
      <c r="D4" s="12">
        <f>Detalle30!C17</f>
        <v>175</v>
      </c>
      <c r="E4" s="19">
        <f t="shared" ref="E4:E19" si="0">C4+D4</f>
        <v>294</v>
      </c>
    </row>
    <row r="5" spans="1:5" x14ac:dyDescent="0.3">
      <c r="A5" s="12">
        <v>30</v>
      </c>
      <c r="B5" s="7" t="s">
        <v>72</v>
      </c>
      <c r="C5" s="12">
        <f>Detalle30!D12</f>
        <v>187</v>
      </c>
      <c r="D5" s="12">
        <f>Detalle30!D17</f>
        <v>275</v>
      </c>
      <c r="E5" s="19">
        <f t="shared" si="0"/>
        <v>462</v>
      </c>
    </row>
    <row r="6" spans="1:5" x14ac:dyDescent="0.3">
      <c r="A6" s="12">
        <v>30</v>
      </c>
      <c r="B6" s="7" t="s">
        <v>73</v>
      </c>
      <c r="C6" s="12">
        <f>Detalle30!E12</f>
        <v>240</v>
      </c>
      <c r="D6" s="12">
        <f>Detalle30!E17</f>
        <v>360</v>
      </c>
      <c r="E6" s="19">
        <f t="shared" si="0"/>
        <v>600</v>
      </c>
    </row>
    <row r="7" spans="1:5" x14ac:dyDescent="0.3">
      <c r="A7" s="12">
        <v>30</v>
      </c>
      <c r="B7" s="7" t="s">
        <v>74</v>
      </c>
      <c r="C7" s="12">
        <f>Detalle30!F12</f>
        <v>323</v>
      </c>
      <c r="D7" s="12">
        <f>Detalle30!F17</f>
        <v>530</v>
      </c>
      <c r="E7" s="19">
        <f t="shared" si="0"/>
        <v>853</v>
      </c>
    </row>
    <row r="8" spans="1:5" x14ac:dyDescent="0.3">
      <c r="A8" s="12">
        <v>50</v>
      </c>
      <c r="B8" s="7" t="s">
        <v>71</v>
      </c>
      <c r="C8" s="12">
        <v>130</v>
      </c>
      <c r="D8" s="12">
        <v>192</v>
      </c>
      <c r="E8" s="19">
        <f t="shared" si="0"/>
        <v>322</v>
      </c>
    </row>
    <row r="9" spans="1:5" x14ac:dyDescent="0.3">
      <c r="A9" s="12">
        <v>50</v>
      </c>
      <c r="B9" s="7" t="s">
        <v>72</v>
      </c>
      <c r="C9" s="12">
        <v>206</v>
      </c>
      <c r="D9" s="12">
        <v>300</v>
      </c>
      <c r="E9" s="19">
        <f t="shared" si="0"/>
        <v>506</v>
      </c>
    </row>
    <row r="10" spans="1:5" x14ac:dyDescent="0.3">
      <c r="A10" s="12">
        <v>50</v>
      </c>
      <c r="B10" s="7" t="s">
        <v>73</v>
      </c>
      <c r="C10" s="12">
        <v>260</v>
      </c>
      <c r="D10" s="12">
        <v>400</v>
      </c>
      <c r="E10" s="19">
        <f t="shared" si="0"/>
        <v>660</v>
      </c>
    </row>
    <row r="11" spans="1:5" x14ac:dyDescent="0.3">
      <c r="A11" s="12">
        <v>50</v>
      </c>
      <c r="B11" s="7" t="s">
        <v>74</v>
      </c>
      <c r="C11" s="12">
        <v>350</v>
      </c>
      <c r="D11" s="12">
        <v>580</v>
      </c>
      <c r="E11" s="19">
        <f t="shared" si="0"/>
        <v>930</v>
      </c>
    </row>
    <row r="12" spans="1:5" x14ac:dyDescent="0.3">
      <c r="A12" s="12">
        <v>100</v>
      </c>
      <c r="B12" s="7" t="s">
        <v>71</v>
      </c>
      <c r="C12" s="12">
        <v>143</v>
      </c>
      <c r="D12" s="12">
        <v>210</v>
      </c>
      <c r="E12" s="19">
        <f t="shared" si="0"/>
        <v>353</v>
      </c>
    </row>
    <row r="13" spans="1:5" x14ac:dyDescent="0.3">
      <c r="A13" s="12">
        <v>100</v>
      </c>
      <c r="B13" s="7" t="s">
        <v>72</v>
      </c>
      <c r="C13" s="12">
        <v>225</v>
      </c>
      <c r="D13" s="12">
        <v>330</v>
      </c>
      <c r="E13" s="19">
        <f t="shared" si="0"/>
        <v>555</v>
      </c>
    </row>
    <row r="14" spans="1:5" x14ac:dyDescent="0.3">
      <c r="A14" s="12">
        <v>100</v>
      </c>
      <c r="B14" s="7" t="s">
        <v>73</v>
      </c>
      <c r="C14" s="12">
        <v>285</v>
      </c>
      <c r="D14" s="12">
        <v>440</v>
      </c>
      <c r="E14" s="19">
        <f t="shared" si="0"/>
        <v>725</v>
      </c>
    </row>
    <row r="15" spans="1:5" x14ac:dyDescent="0.3">
      <c r="A15" s="12">
        <v>100</v>
      </c>
      <c r="B15" s="7" t="s">
        <v>74</v>
      </c>
      <c r="C15" s="12">
        <v>385</v>
      </c>
      <c r="D15" s="12">
        <v>640</v>
      </c>
      <c r="E15" s="19">
        <f t="shared" si="0"/>
        <v>1025</v>
      </c>
    </row>
    <row r="16" spans="1:5" x14ac:dyDescent="0.3">
      <c r="A16" s="12">
        <v>150</v>
      </c>
      <c r="B16" s="7" t="s">
        <v>71</v>
      </c>
      <c r="C16" s="12">
        <v>160</v>
      </c>
      <c r="D16" s="12">
        <v>230</v>
      </c>
      <c r="E16" s="19">
        <f t="shared" si="0"/>
        <v>390</v>
      </c>
    </row>
    <row r="17" spans="1:5" x14ac:dyDescent="0.3">
      <c r="A17" s="12">
        <v>150</v>
      </c>
      <c r="B17" s="7" t="s">
        <v>72</v>
      </c>
      <c r="C17" s="12">
        <v>250</v>
      </c>
      <c r="D17" s="12">
        <v>360</v>
      </c>
      <c r="E17" s="19">
        <f t="shared" si="0"/>
        <v>610</v>
      </c>
    </row>
    <row r="18" spans="1:5" x14ac:dyDescent="0.3">
      <c r="A18" s="12">
        <v>150</v>
      </c>
      <c r="B18" s="7" t="s">
        <v>73</v>
      </c>
      <c r="C18" s="12">
        <v>300</v>
      </c>
      <c r="D18" s="12">
        <v>480</v>
      </c>
      <c r="E18" s="19">
        <f t="shared" si="0"/>
        <v>780</v>
      </c>
    </row>
    <row r="19" spans="1:5" x14ac:dyDescent="0.3">
      <c r="A19" s="12">
        <v>150</v>
      </c>
      <c r="B19" s="7" t="s">
        <v>74</v>
      </c>
      <c r="C19" s="12">
        <v>415</v>
      </c>
      <c r="D19" s="12">
        <v>700</v>
      </c>
      <c r="E19" s="19">
        <f t="shared" si="0"/>
        <v>1115</v>
      </c>
    </row>
    <row r="21" spans="1:5" x14ac:dyDescent="0.3">
      <c r="A21" s="6" t="s">
        <v>75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workbookViewId="0">
      <selection sqref="A1:H1"/>
    </sheetView>
  </sheetViews>
  <sheetFormatPr baseColWidth="10" defaultColWidth="8.88671875" defaultRowHeight="14.4" x14ac:dyDescent="0.3"/>
  <cols>
    <col min="1" max="1" width="12" customWidth="1"/>
    <col min="2" max="2" width="34" customWidth="1"/>
    <col min="3" max="4" width="14" customWidth="1"/>
    <col min="5" max="6" width="15" customWidth="1"/>
    <col min="7" max="7" width="17" customWidth="1"/>
    <col min="8" max="8" width="16" customWidth="1"/>
  </cols>
  <sheetData>
    <row r="1" spans="1:8" ht="24" customHeight="1" x14ac:dyDescent="0.3">
      <c r="A1" s="33" t="s">
        <v>76</v>
      </c>
      <c r="B1" s="32"/>
      <c r="C1" s="32"/>
      <c r="D1" s="32"/>
      <c r="E1" s="32"/>
      <c r="F1" s="32"/>
      <c r="G1" s="32"/>
      <c r="H1" s="32"/>
    </row>
    <row r="2" spans="1:8" x14ac:dyDescent="0.3">
      <c r="A2" s="6" t="s">
        <v>77</v>
      </c>
    </row>
    <row r="3" spans="1:8" ht="30" customHeight="1" x14ac:dyDescent="0.3">
      <c r="A3" s="1" t="s">
        <v>78</v>
      </c>
      <c r="B3" s="1" t="s">
        <v>67</v>
      </c>
      <c r="C3" s="1" t="s">
        <v>79</v>
      </c>
      <c r="D3" s="1" t="s">
        <v>69</v>
      </c>
      <c r="E3" s="1" t="s">
        <v>6</v>
      </c>
      <c r="F3" s="1" t="s">
        <v>8</v>
      </c>
      <c r="G3" s="1" t="s">
        <v>10</v>
      </c>
      <c r="H3" s="1" t="s">
        <v>12</v>
      </c>
    </row>
    <row r="4" spans="1:8" x14ac:dyDescent="0.3">
      <c r="A4" s="12">
        <v>30</v>
      </c>
      <c r="B4" s="7" t="s">
        <v>71</v>
      </c>
      <c r="C4" s="12">
        <f>SUMIFS(Horas!$C$4:$C$19,Horas!$A$4:$A$19,$A4,Horas!$B$4:$B$19,$B4)</f>
        <v>119</v>
      </c>
      <c r="D4" s="12">
        <f>SUMIFS(Horas!$D$4:$D$19,Horas!$A$4:$A$19,$A4,Horas!$B$4:$B$19,$B4)</f>
        <v>175</v>
      </c>
      <c r="E4" s="3">
        <f>$C4*VLOOKUP(E$3,Parámetros!$A$5:$C$8,2,FALSE)+$D4*VLOOKUP(E$3,Parámetros!$A$5:$C$8,3,FALSE)</f>
        <v>23310</v>
      </c>
      <c r="F4" s="3">
        <f>$C4*VLOOKUP(F$3,Parámetros!$A$5:$C$8,2,FALSE)+$D4*VLOOKUP(F$3,Parámetros!$A$5:$C$8,3,FALSE)</f>
        <v>20335</v>
      </c>
      <c r="G4" s="3">
        <f>$C4*VLOOKUP(G$3,Parámetros!$A$5:$C$8,2,FALSE)+$D4*VLOOKUP(G$3,Parámetros!$A$5:$C$8,3,FALSE)</f>
        <v>17955</v>
      </c>
      <c r="H4" s="3">
        <f>$C4*VLOOKUP(H$3,Parámetros!$A$5:$C$8,2,FALSE)+$D4*VLOOKUP(H$3,Parámetros!$A$5:$C$8,3,FALSE)</f>
        <v>22120</v>
      </c>
    </row>
    <row r="5" spans="1:8" x14ac:dyDescent="0.3">
      <c r="A5" s="12">
        <v>30</v>
      </c>
      <c r="B5" s="7" t="s">
        <v>72</v>
      </c>
      <c r="C5" s="12">
        <f>SUMIFS(Horas!$C$4:$C$19,Horas!$A$4:$A$19,$A5,Horas!$B$4:$B$19,$B5)</f>
        <v>187</v>
      </c>
      <c r="D5" s="12">
        <f>SUMIFS(Horas!$D$4:$D$19,Horas!$A$4:$A$19,$A5,Horas!$B$4:$B$19,$B5)</f>
        <v>275</v>
      </c>
      <c r="E5" s="3">
        <f>$C5*VLOOKUP(E$3,Parámetros!$A$5:$C$8,2,FALSE)+$D5*VLOOKUP(E$3,Parámetros!$A$5:$C$8,3,FALSE)</f>
        <v>36630</v>
      </c>
      <c r="F5" s="3">
        <f>$C5*VLOOKUP(F$3,Parámetros!$A$5:$C$8,2,FALSE)+$D5*VLOOKUP(F$3,Parámetros!$A$5:$C$8,3,FALSE)</f>
        <v>31955</v>
      </c>
      <c r="G5" s="3">
        <f>$C5*VLOOKUP(G$3,Parámetros!$A$5:$C$8,2,FALSE)+$D5*VLOOKUP(G$3,Parámetros!$A$5:$C$8,3,FALSE)</f>
        <v>28215</v>
      </c>
      <c r="H5" s="3">
        <f>$C5*VLOOKUP(H$3,Parámetros!$A$5:$C$8,2,FALSE)+$D5*VLOOKUP(H$3,Parámetros!$A$5:$C$8,3,FALSE)</f>
        <v>34760</v>
      </c>
    </row>
    <row r="6" spans="1:8" x14ac:dyDescent="0.3">
      <c r="A6" s="12">
        <v>30</v>
      </c>
      <c r="B6" s="7" t="s">
        <v>73</v>
      </c>
      <c r="C6" s="12">
        <f>SUMIFS(Horas!$C$4:$C$19,Horas!$A$4:$A$19,$A6,Horas!$B$4:$B$19,$B6)</f>
        <v>240</v>
      </c>
      <c r="D6" s="12">
        <f>SUMIFS(Horas!$D$4:$D$19,Horas!$A$4:$A$19,$A6,Horas!$B$4:$B$19,$B6)</f>
        <v>360</v>
      </c>
      <c r="E6" s="3">
        <f>$C6*VLOOKUP(E$3,Parámetros!$A$5:$C$8,2,FALSE)+$D6*VLOOKUP(E$3,Parámetros!$A$5:$C$8,3,FALSE)</f>
        <v>47400</v>
      </c>
      <c r="F6" s="3">
        <f>$C6*VLOOKUP(F$3,Parámetros!$A$5:$C$8,2,FALSE)+$D6*VLOOKUP(F$3,Parámetros!$A$5:$C$8,3,FALSE)</f>
        <v>41400</v>
      </c>
      <c r="G6" s="3">
        <f>$C6*VLOOKUP(G$3,Parámetros!$A$5:$C$8,2,FALSE)+$D6*VLOOKUP(G$3,Parámetros!$A$5:$C$8,3,FALSE)</f>
        <v>36600</v>
      </c>
      <c r="H6" s="3">
        <f>$C6*VLOOKUP(H$3,Parámetros!$A$5:$C$8,2,FALSE)+$D6*VLOOKUP(H$3,Parámetros!$A$5:$C$8,3,FALSE)</f>
        <v>45000</v>
      </c>
    </row>
    <row r="7" spans="1:8" x14ac:dyDescent="0.3">
      <c r="A7" s="12">
        <v>30</v>
      </c>
      <c r="B7" s="7" t="s">
        <v>74</v>
      </c>
      <c r="C7" s="12">
        <f>SUMIFS(Horas!$C$4:$C$19,Horas!$A$4:$A$19,$A7,Horas!$B$4:$B$19,$B7)</f>
        <v>323</v>
      </c>
      <c r="D7" s="12">
        <f>SUMIFS(Horas!$D$4:$D$19,Horas!$A$4:$A$19,$A7,Horas!$B$4:$B$19,$B7)</f>
        <v>530</v>
      </c>
      <c r="E7" s="3">
        <f>$C7*VLOOKUP(E$3,Parámetros!$A$5:$C$8,2,FALSE)+$D7*VLOOKUP(E$3,Parámetros!$A$5:$C$8,3,FALSE)</f>
        <v>66295</v>
      </c>
      <c r="F7" s="3">
        <f>$C7*VLOOKUP(F$3,Parámetros!$A$5:$C$8,2,FALSE)+$D7*VLOOKUP(F$3,Parámetros!$A$5:$C$8,3,FALSE)</f>
        <v>58220</v>
      </c>
      <c r="G7" s="3">
        <f>$C7*VLOOKUP(G$3,Parámetros!$A$5:$C$8,2,FALSE)+$D7*VLOOKUP(G$3,Parámetros!$A$5:$C$8,3,FALSE)</f>
        <v>51760</v>
      </c>
      <c r="H7" s="3">
        <f>$C7*VLOOKUP(H$3,Parámetros!$A$5:$C$8,2,FALSE)+$D7*VLOOKUP(H$3,Parámetros!$A$5:$C$8,3,FALSE)</f>
        <v>63065</v>
      </c>
    </row>
    <row r="8" spans="1:8" x14ac:dyDescent="0.3">
      <c r="A8" s="12">
        <v>50</v>
      </c>
      <c r="B8" s="7" t="s">
        <v>71</v>
      </c>
      <c r="C8" s="12">
        <f>SUMIFS(Horas!$C$4:$C$19,Horas!$A$4:$A$19,$A8,Horas!$B$4:$B$19,$B8)</f>
        <v>130</v>
      </c>
      <c r="D8" s="12">
        <f>SUMIFS(Horas!$D$4:$D$19,Horas!$A$4:$A$19,$A8,Horas!$B$4:$B$19,$B8)</f>
        <v>192</v>
      </c>
      <c r="E8" s="3">
        <f>$C8*VLOOKUP(E$3,Parámetros!$A$5:$C$8,2,FALSE)+$D8*VLOOKUP(E$3,Parámetros!$A$5:$C$8,3,FALSE)</f>
        <v>25510</v>
      </c>
      <c r="F8" s="3">
        <f>$C8*VLOOKUP(F$3,Parámetros!$A$5:$C$8,2,FALSE)+$D8*VLOOKUP(F$3,Parámetros!$A$5:$C$8,3,FALSE)</f>
        <v>22260</v>
      </c>
      <c r="G8" s="3">
        <f>$C8*VLOOKUP(G$3,Parámetros!$A$5:$C$8,2,FALSE)+$D8*VLOOKUP(G$3,Parámetros!$A$5:$C$8,3,FALSE)</f>
        <v>19660</v>
      </c>
      <c r="H8" s="3">
        <f>$C8*VLOOKUP(H$3,Parámetros!$A$5:$C$8,2,FALSE)+$D8*VLOOKUP(H$3,Parámetros!$A$5:$C$8,3,FALSE)</f>
        <v>24210</v>
      </c>
    </row>
    <row r="9" spans="1:8" x14ac:dyDescent="0.3">
      <c r="A9" s="12">
        <v>50</v>
      </c>
      <c r="B9" s="7" t="s">
        <v>72</v>
      </c>
      <c r="C9" s="12">
        <f>SUMIFS(Horas!$C$4:$C$19,Horas!$A$4:$A$19,$A9,Horas!$B$4:$B$19,$B9)</f>
        <v>206</v>
      </c>
      <c r="D9" s="12">
        <f>SUMIFS(Horas!$D$4:$D$19,Horas!$A$4:$A$19,$A9,Horas!$B$4:$B$19,$B9)</f>
        <v>300</v>
      </c>
      <c r="E9" s="3">
        <f>$C9*VLOOKUP(E$3,Parámetros!$A$5:$C$8,2,FALSE)+$D9*VLOOKUP(E$3,Parámetros!$A$5:$C$8,3,FALSE)</f>
        <v>40190</v>
      </c>
      <c r="F9" s="3">
        <f>$C9*VLOOKUP(F$3,Parámetros!$A$5:$C$8,2,FALSE)+$D9*VLOOKUP(F$3,Parámetros!$A$5:$C$8,3,FALSE)</f>
        <v>35040</v>
      </c>
      <c r="G9" s="3">
        <f>$C9*VLOOKUP(G$3,Parámetros!$A$5:$C$8,2,FALSE)+$D9*VLOOKUP(G$3,Parámetros!$A$5:$C$8,3,FALSE)</f>
        <v>30920</v>
      </c>
      <c r="H9" s="3">
        <f>$C9*VLOOKUP(H$3,Parámetros!$A$5:$C$8,2,FALSE)+$D9*VLOOKUP(H$3,Parámetros!$A$5:$C$8,3,FALSE)</f>
        <v>38130</v>
      </c>
    </row>
    <row r="10" spans="1:8" x14ac:dyDescent="0.3">
      <c r="A10" s="12">
        <v>50</v>
      </c>
      <c r="B10" s="7" t="s">
        <v>73</v>
      </c>
      <c r="C10" s="12">
        <f>SUMIFS(Horas!$C$4:$C$19,Horas!$A$4:$A$19,$A10,Horas!$B$4:$B$19,$B10)</f>
        <v>260</v>
      </c>
      <c r="D10" s="12">
        <f>SUMIFS(Horas!$D$4:$D$19,Horas!$A$4:$A$19,$A10,Horas!$B$4:$B$19,$B10)</f>
        <v>400</v>
      </c>
      <c r="E10" s="3">
        <f>$C10*VLOOKUP(E$3,Parámetros!$A$5:$C$8,2,FALSE)+$D10*VLOOKUP(E$3,Parámetros!$A$5:$C$8,3,FALSE)</f>
        <v>51900</v>
      </c>
      <c r="F10" s="3">
        <f>$C10*VLOOKUP(F$3,Parámetros!$A$5:$C$8,2,FALSE)+$D10*VLOOKUP(F$3,Parámetros!$A$5:$C$8,3,FALSE)</f>
        <v>45400</v>
      </c>
      <c r="G10" s="3">
        <f>$C10*VLOOKUP(G$3,Parámetros!$A$5:$C$8,2,FALSE)+$D10*VLOOKUP(G$3,Parámetros!$A$5:$C$8,3,FALSE)</f>
        <v>40200</v>
      </c>
      <c r="H10" s="3">
        <f>$C10*VLOOKUP(H$3,Parámetros!$A$5:$C$8,2,FALSE)+$D10*VLOOKUP(H$3,Parámetros!$A$5:$C$8,3,FALSE)</f>
        <v>49300</v>
      </c>
    </row>
    <row r="11" spans="1:8" x14ac:dyDescent="0.3">
      <c r="A11" s="12">
        <v>50</v>
      </c>
      <c r="B11" s="7" t="s">
        <v>74</v>
      </c>
      <c r="C11" s="12">
        <f>SUMIFS(Horas!$C$4:$C$19,Horas!$A$4:$A$19,$A11,Horas!$B$4:$B$19,$B11)</f>
        <v>350</v>
      </c>
      <c r="D11" s="12">
        <f>SUMIFS(Horas!$D$4:$D$19,Horas!$A$4:$A$19,$A11,Horas!$B$4:$B$19,$B11)</f>
        <v>580</v>
      </c>
      <c r="E11" s="3">
        <f>$C11*VLOOKUP(E$3,Parámetros!$A$5:$C$8,2,FALSE)+$D11*VLOOKUP(E$3,Parámetros!$A$5:$C$8,3,FALSE)</f>
        <v>72150</v>
      </c>
      <c r="F11" s="3">
        <f>$C11*VLOOKUP(F$3,Parámetros!$A$5:$C$8,2,FALSE)+$D11*VLOOKUP(F$3,Parámetros!$A$5:$C$8,3,FALSE)</f>
        <v>63400</v>
      </c>
      <c r="G11" s="3">
        <f>$C11*VLOOKUP(G$3,Parámetros!$A$5:$C$8,2,FALSE)+$D11*VLOOKUP(G$3,Parámetros!$A$5:$C$8,3,FALSE)</f>
        <v>56400</v>
      </c>
      <c r="H11" s="3">
        <f>$C11*VLOOKUP(H$3,Parámetros!$A$5:$C$8,2,FALSE)+$D11*VLOOKUP(H$3,Parámetros!$A$5:$C$8,3,FALSE)</f>
        <v>68650</v>
      </c>
    </row>
    <row r="12" spans="1:8" x14ac:dyDescent="0.3">
      <c r="A12" s="12">
        <v>100</v>
      </c>
      <c r="B12" s="7" t="s">
        <v>71</v>
      </c>
      <c r="C12" s="12">
        <f>SUMIFS(Horas!$C$4:$C$19,Horas!$A$4:$A$19,$A12,Horas!$B$4:$B$19,$B12)</f>
        <v>143</v>
      </c>
      <c r="D12" s="12">
        <f>SUMIFS(Horas!$D$4:$D$19,Horas!$A$4:$A$19,$A12,Horas!$B$4:$B$19,$B12)</f>
        <v>210</v>
      </c>
      <c r="E12" s="3">
        <f>$C12*VLOOKUP(E$3,Parámetros!$A$5:$C$8,2,FALSE)+$D12*VLOOKUP(E$3,Parámetros!$A$5:$C$8,3,FALSE)</f>
        <v>27995</v>
      </c>
      <c r="F12" s="3">
        <f>$C12*VLOOKUP(F$3,Parámetros!$A$5:$C$8,2,FALSE)+$D12*VLOOKUP(F$3,Parámetros!$A$5:$C$8,3,FALSE)</f>
        <v>24420</v>
      </c>
      <c r="G12" s="3">
        <f>$C12*VLOOKUP(G$3,Parámetros!$A$5:$C$8,2,FALSE)+$D12*VLOOKUP(G$3,Parámetros!$A$5:$C$8,3,FALSE)</f>
        <v>21560</v>
      </c>
      <c r="H12" s="3">
        <f>$C12*VLOOKUP(H$3,Parámetros!$A$5:$C$8,2,FALSE)+$D12*VLOOKUP(H$3,Parámetros!$A$5:$C$8,3,FALSE)</f>
        <v>26565</v>
      </c>
    </row>
    <row r="13" spans="1:8" x14ac:dyDescent="0.3">
      <c r="A13" s="12">
        <v>100</v>
      </c>
      <c r="B13" s="7" t="s">
        <v>72</v>
      </c>
      <c r="C13" s="12">
        <f>SUMIFS(Horas!$C$4:$C$19,Horas!$A$4:$A$19,$A13,Horas!$B$4:$B$19,$B13)</f>
        <v>225</v>
      </c>
      <c r="D13" s="12">
        <f>SUMIFS(Horas!$D$4:$D$19,Horas!$A$4:$A$19,$A13,Horas!$B$4:$B$19,$B13)</f>
        <v>330</v>
      </c>
      <c r="E13" s="3">
        <f>$C13*VLOOKUP(E$3,Parámetros!$A$5:$C$8,2,FALSE)+$D13*VLOOKUP(E$3,Parámetros!$A$5:$C$8,3,FALSE)</f>
        <v>44025</v>
      </c>
      <c r="F13" s="3">
        <f>$C13*VLOOKUP(F$3,Parámetros!$A$5:$C$8,2,FALSE)+$D13*VLOOKUP(F$3,Parámetros!$A$5:$C$8,3,FALSE)</f>
        <v>38400</v>
      </c>
      <c r="G13" s="3">
        <f>$C13*VLOOKUP(G$3,Parámetros!$A$5:$C$8,2,FALSE)+$D13*VLOOKUP(G$3,Parámetros!$A$5:$C$8,3,FALSE)</f>
        <v>33900</v>
      </c>
      <c r="H13" s="3">
        <f>$C13*VLOOKUP(H$3,Parámetros!$A$5:$C$8,2,FALSE)+$D13*VLOOKUP(H$3,Parámetros!$A$5:$C$8,3,FALSE)</f>
        <v>41775</v>
      </c>
    </row>
    <row r="14" spans="1:8" x14ac:dyDescent="0.3">
      <c r="A14" s="12">
        <v>100</v>
      </c>
      <c r="B14" s="7" t="s">
        <v>73</v>
      </c>
      <c r="C14" s="12">
        <f>SUMIFS(Horas!$C$4:$C$19,Horas!$A$4:$A$19,$A14,Horas!$B$4:$B$19,$B14)</f>
        <v>285</v>
      </c>
      <c r="D14" s="12">
        <f>SUMIFS(Horas!$D$4:$D$19,Horas!$A$4:$A$19,$A14,Horas!$B$4:$B$19,$B14)</f>
        <v>440</v>
      </c>
      <c r="E14" s="3">
        <f>$C14*VLOOKUP(E$3,Parámetros!$A$5:$C$8,2,FALSE)+$D14*VLOOKUP(E$3,Parámetros!$A$5:$C$8,3,FALSE)</f>
        <v>56975</v>
      </c>
      <c r="F14" s="3">
        <f>$C14*VLOOKUP(F$3,Parámetros!$A$5:$C$8,2,FALSE)+$D14*VLOOKUP(F$3,Parámetros!$A$5:$C$8,3,FALSE)</f>
        <v>49850</v>
      </c>
      <c r="G14" s="3">
        <f>$C14*VLOOKUP(G$3,Parámetros!$A$5:$C$8,2,FALSE)+$D14*VLOOKUP(G$3,Parámetros!$A$5:$C$8,3,FALSE)</f>
        <v>44150</v>
      </c>
      <c r="H14" s="3">
        <f>$C14*VLOOKUP(H$3,Parámetros!$A$5:$C$8,2,FALSE)+$D14*VLOOKUP(H$3,Parámetros!$A$5:$C$8,3,FALSE)</f>
        <v>54125</v>
      </c>
    </row>
    <row r="15" spans="1:8" x14ac:dyDescent="0.3">
      <c r="A15" s="12">
        <v>100</v>
      </c>
      <c r="B15" s="7" t="s">
        <v>74</v>
      </c>
      <c r="C15" s="12">
        <f>SUMIFS(Horas!$C$4:$C$19,Horas!$A$4:$A$19,$A15,Horas!$B$4:$B$19,$B15)</f>
        <v>385</v>
      </c>
      <c r="D15" s="12">
        <f>SUMIFS(Horas!$D$4:$D$19,Horas!$A$4:$A$19,$A15,Horas!$B$4:$B$19,$B15)</f>
        <v>640</v>
      </c>
      <c r="E15" s="3">
        <f>$C15*VLOOKUP(E$3,Parámetros!$A$5:$C$8,2,FALSE)+$D15*VLOOKUP(E$3,Parámetros!$A$5:$C$8,3,FALSE)</f>
        <v>79475</v>
      </c>
      <c r="F15" s="3">
        <f>$C15*VLOOKUP(F$3,Parámetros!$A$5:$C$8,2,FALSE)+$D15*VLOOKUP(F$3,Parámetros!$A$5:$C$8,3,FALSE)</f>
        <v>69850</v>
      </c>
      <c r="G15" s="3">
        <f>$C15*VLOOKUP(G$3,Parámetros!$A$5:$C$8,2,FALSE)+$D15*VLOOKUP(G$3,Parámetros!$A$5:$C$8,3,FALSE)</f>
        <v>62150</v>
      </c>
      <c r="H15" s="3">
        <f>$C15*VLOOKUP(H$3,Parámetros!$A$5:$C$8,2,FALSE)+$D15*VLOOKUP(H$3,Parámetros!$A$5:$C$8,3,FALSE)</f>
        <v>75625</v>
      </c>
    </row>
    <row r="16" spans="1:8" x14ac:dyDescent="0.3">
      <c r="A16" s="12">
        <v>150</v>
      </c>
      <c r="B16" s="7" t="s">
        <v>71</v>
      </c>
      <c r="C16" s="12">
        <f>SUMIFS(Horas!$C$4:$C$19,Horas!$A$4:$A$19,$A16,Horas!$B$4:$B$19,$B16)</f>
        <v>160</v>
      </c>
      <c r="D16" s="12">
        <f>SUMIFS(Horas!$D$4:$D$19,Horas!$A$4:$A$19,$A16,Horas!$B$4:$B$19,$B16)</f>
        <v>230</v>
      </c>
      <c r="E16" s="3">
        <f>$C16*VLOOKUP(E$3,Parámetros!$A$5:$C$8,2,FALSE)+$D16*VLOOKUP(E$3,Parámetros!$A$5:$C$8,3,FALSE)</f>
        <v>31050</v>
      </c>
      <c r="F16" s="3">
        <f>$C16*VLOOKUP(F$3,Parámetros!$A$5:$C$8,2,FALSE)+$D16*VLOOKUP(F$3,Parámetros!$A$5:$C$8,3,FALSE)</f>
        <v>27050</v>
      </c>
      <c r="G16" s="3">
        <f>$C16*VLOOKUP(G$3,Parámetros!$A$5:$C$8,2,FALSE)+$D16*VLOOKUP(G$3,Parámetros!$A$5:$C$8,3,FALSE)</f>
        <v>23850</v>
      </c>
      <c r="H16" s="3">
        <f>$C16*VLOOKUP(H$3,Parámetros!$A$5:$C$8,2,FALSE)+$D16*VLOOKUP(H$3,Parámetros!$A$5:$C$8,3,FALSE)</f>
        <v>29450</v>
      </c>
    </row>
    <row r="17" spans="1:8" x14ac:dyDescent="0.3">
      <c r="A17" s="12">
        <v>150</v>
      </c>
      <c r="B17" s="7" t="s">
        <v>72</v>
      </c>
      <c r="C17" s="12">
        <f>SUMIFS(Horas!$C$4:$C$19,Horas!$A$4:$A$19,$A17,Horas!$B$4:$B$19,$B17)</f>
        <v>250</v>
      </c>
      <c r="D17" s="12">
        <f>SUMIFS(Horas!$D$4:$D$19,Horas!$A$4:$A$19,$A17,Horas!$B$4:$B$19,$B17)</f>
        <v>360</v>
      </c>
      <c r="E17" s="3">
        <f>$C17*VLOOKUP(E$3,Parámetros!$A$5:$C$8,2,FALSE)+$D17*VLOOKUP(E$3,Parámetros!$A$5:$C$8,3,FALSE)</f>
        <v>48550</v>
      </c>
      <c r="F17" s="3">
        <f>$C17*VLOOKUP(F$3,Parámetros!$A$5:$C$8,2,FALSE)+$D17*VLOOKUP(F$3,Parámetros!$A$5:$C$8,3,FALSE)</f>
        <v>42300</v>
      </c>
      <c r="G17" s="3">
        <f>$C17*VLOOKUP(G$3,Parámetros!$A$5:$C$8,2,FALSE)+$D17*VLOOKUP(G$3,Parámetros!$A$5:$C$8,3,FALSE)</f>
        <v>37300</v>
      </c>
      <c r="H17" s="3">
        <f>$C17*VLOOKUP(H$3,Parámetros!$A$5:$C$8,2,FALSE)+$D17*VLOOKUP(H$3,Parámetros!$A$5:$C$8,3,FALSE)</f>
        <v>46050</v>
      </c>
    </row>
    <row r="18" spans="1:8" x14ac:dyDescent="0.3">
      <c r="A18" s="12">
        <v>150</v>
      </c>
      <c r="B18" s="7" t="s">
        <v>73</v>
      </c>
      <c r="C18" s="12">
        <f>SUMIFS(Horas!$C$4:$C$19,Horas!$A$4:$A$19,$A18,Horas!$B$4:$B$19,$B18)</f>
        <v>300</v>
      </c>
      <c r="D18" s="12">
        <f>SUMIFS(Horas!$D$4:$D$19,Horas!$A$4:$A$19,$A18,Horas!$B$4:$B$19,$B18)</f>
        <v>480</v>
      </c>
      <c r="E18" s="3">
        <f>$C18*VLOOKUP(E$3,Parámetros!$A$5:$C$8,2,FALSE)+$D18*VLOOKUP(E$3,Parámetros!$A$5:$C$8,3,FALSE)</f>
        <v>60900</v>
      </c>
      <c r="F18" s="3">
        <f>$C18*VLOOKUP(F$3,Parámetros!$A$5:$C$8,2,FALSE)+$D18*VLOOKUP(F$3,Parámetros!$A$5:$C$8,3,FALSE)</f>
        <v>53400</v>
      </c>
      <c r="G18" s="3">
        <f>$C18*VLOOKUP(G$3,Parámetros!$A$5:$C$8,2,FALSE)+$D18*VLOOKUP(G$3,Parámetros!$A$5:$C$8,3,FALSE)</f>
        <v>47400</v>
      </c>
      <c r="H18" s="3">
        <f>$C18*VLOOKUP(H$3,Parámetros!$A$5:$C$8,2,FALSE)+$D18*VLOOKUP(H$3,Parámetros!$A$5:$C$8,3,FALSE)</f>
        <v>57900</v>
      </c>
    </row>
    <row r="19" spans="1:8" x14ac:dyDescent="0.3">
      <c r="A19" s="12">
        <v>150</v>
      </c>
      <c r="B19" s="7" t="s">
        <v>74</v>
      </c>
      <c r="C19" s="12">
        <f>SUMIFS(Horas!$C$4:$C$19,Horas!$A$4:$A$19,$A19,Horas!$B$4:$B$19,$B19)</f>
        <v>415</v>
      </c>
      <c r="D19" s="12">
        <f>SUMIFS(Horas!$D$4:$D$19,Horas!$A$4:$A$19,$A19,Horas!$B$4:$B$19,$B19)</f>
        <v>700</v>
      </c>
      <c r="E19" s="3">
        <f>$C19*VLOOKUP(E$3,Parámetros!$A$5:$C$8,2,FALSE)+$D19*VLOOKUP(E$3,Parámetros!$A$5:$C$8,3,FALSE)</f>
        <v>86225</v>
      </c>
      <c r="F19" s="3">
        <f>$C19*VLOOKUP(F$3,Parámetros!$A$5:$C$8,2,FALSE)+$D19*VLOOKUP(F$3,Parámetros!$A$5:$C$8,3,FALSE)</f>
        <v>75850</v>
      </c>
      <c r="G19" s="3">
        <f>$C19*VLOOKUP(G$3,Parámetros!$A$5:$C$8,2,FALSE)+$D19*VLOOKUP(G$3,Parámetros!$A$5:$C$8,3,FALSE)</f>
        <v>67550</v>
      </c>
      <c r="H19" s="3">
        <f>$C19*VLOOKUP(H$3,Parámetros!$A$5:$C$8,2,FALSE)+$D19*VLOOKUP(H$3,Parámetros!$A$5:$C$8,3,FALSE)</f>
        <v>82075</v>
      </c>
    </row>
    <row r="20" spans="1:8" x14ac:dyDescent="0.3">
      <c r="A20" s="6" t="s">
        <v>80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workbookViewId="0">
      <selection sqref="A1:H1"/>
    </sheetView>
  </sheetViews>
  <sheetFormatPr baseColWidth="10" defaultColWidth="8.88671875" defaultRowHeight="14.4" x14ac:dyDescent="0.3"/>
  <cols>
    <col min="1" max="1" width="40" customWidth="1"/>
    <col min="2" max="2" width="12" customWidth="1"/>
    <col min="3" max="4" width="14" customWidth="1"/>
    <col min="5" max="8" width="16" customWidth="1"/>
  </cols>
  <sheetData>
    <row r="1" spans="1:8" ht="24" customHeight="1" x14ac:dyDescent="0.3">
      <c r="A1" s="33" t="s">
        <v>81</v>
      </c>
      <c r="B1" s="32"/>
      <c r="C1" s="32"/>
      <c r="D1" s="32"/>
      <c r="E1" s="32"/>
      <c r="F1" s="32"/>
      <c r="G1" s="32"/>
      <c r="H1" s="32"/>
    </row>
    <row r="3" spans="1:8" x14ac:dyDescent="0.3">
      <c r="A3" s="10" t="s">
        <v>82</v>
      </c>
      <c r="B3" s="20" t="s">
        <v>6</v>
      </c>
    </row>
    <row r="4" spans="1:8" x14ac:dyDescent="0.3">
      <c r="A4" s="10" t="s">
        <v>83</v>
      </c>
      <c r="B4" s="20">
        <v>30</v>
      </c>
    </row>
    <row r="5" spans="1:8" x14ac:dyDescent="0.3">
      <c r="A5" s="10" t="s">
        <v>84</v>
      </c>
      <c r="B5" s="20">
        <v>30</v>
      </c>
    </row>
    <row r="6" spans="1:8" x14ac:dyDescent="0.3">
      <c r="A6" s="10" t="s">
        <v>85</v>
      </c>
      <c r="B6" s="21">
        <v>0</v>
      </c>
    </row>
    <row r="7" spans="1:8" x14ac:dyDescent="0.3">
      <c r="A7" s="10" t="s">
        <v>86</v>
      </c>
      <c r="B7" s="22"/>
    </row>
    <row r="9" spans="1:8" ht="30" customHeight="1" x14ac:dyDescent="0.3">
      <c r="A9" s="1" t="s">
        <v>87</v>
      </c>
      <c r="B9" s="1" t="s">
        <v>88</v>
      </c>
      <c r="C9" s="1" t="s">
        <v>79</v>
      </c>
      <c r="D9" s="1" t="s">
        <v>69</v>
      </c>
      <c r="E9" s="1" t="s">
        <v>89</v>
      </c>
      <c r="F9" s="1" t="s">
        <v>90</v>
      </c>
      <c r="G9" s="1" t="s">
        <v>91</v>
      </c>
      <c r="H9" s="1" t="s">
        <v>92</v>
      </c>
    </row>
    <row r="10" spans="1:8" x14ac:dyDescent="0.3">
      <c r="A10" s="7" t="s">
        <v>71</v>
      </c>
      <c r="B10" s="12" t="s">
        <v>93</v>
      </c>
      <c r="C10" s="12">
        <f>SUMIFS(Horas!$C$4:$C$19,Horas!$A$4:$A$19,$B$4,Horas!$B$4:$B$19,$A10)</f>
        <v>119</v>
      </c>
      <c r="D10" s="12">
        <f>SUMIFS(Horas!$D$4:$D$19,Horas!$A$4:$A$19,$B$4,Horas!$B$4:$B$19,$A10)</f>
        <v>175</v>
      </c>
      <c r="E10" s="3">
        <f>VLOOKUP($B$3,Parámetros!$A$5:$C$8,2,FALSE)</f>
        <v>115</v>
      </c>
      <c r="F10" s="3">
        <f>C10*E10</f>
        <v>13685</v>
      </c>
      <c r="G10" s="3">
        <f>D10*VLOOKUP($B$3,Parámetros!$A$5:$C$8,3,FALSE)</f>
        <v>9625</v>
      </c>
      <c r="H10" s="3">
        <f>IF($B10="Sí",F10+G10,0)</f>
        <v>23310</v>
      </c>
    </row>
    <row r="11" spans="1:8" x14ac:dyDescent="0.3">
      <c r="A11" s="7" t="s">
        <v>72</v>
      </c>
      <c r="B11" s="12" t="s">
        <v>93</v>
      </c>
      <c r="C11" s="12">
        <f>SUMIFS(Horas!$C$4:$C$19,Horas!$A$4:$A$19,$B$4,Horas!$B$4:$B$19,$A11)</f>
        <v>187</v>
      </c>
      <c r="D11" s="12">
        <f>SUMIFS(Horas!$D$4:$D$19,Horas!$A$4:$A$19,$B$4,Horas!$B$4:$B$19,$A11)</f>
        <v>275</v>
      </c>
      <c r="E11" s="3">
        <f>VLOOKUP($B$3,Parámetros!$A$5:$C$8,2,FALSE)</f>
        <v>115</v>
      </c>
      <c r="F11" s="3">
        <f>C11*E11</f>
        <v>21505</v>
      </c>
      <c r="G11" s="3">
        <f>D11*VLOOKUP($B$3,Parámetros!$A$5:$C$8,3,FALSE)</f>
        <v>15125</v>
      </c>
      <c r="H11" s="3">
        <f>IF($B11="Sí",F11+G11,0)</f>
        <v>36630</v>
      </c>
    </row>
    <row r="12" spans="1:8" x14ac:dyDescent="0.3">
      <c r="A12" s="7" t="s">
        <v>73</v>
      </c>
      <c r="B12" s="12" t="s">
        <v>93</v>
      </c>
      <c r="C12" s="12">
        <f>SUMIFS(Horas!$C$4:$C$19,Horas!$A$4:$A$19,$B$4,Horas!$B$4:$B$19,$A12)</f>
        <v>240</v>
      </c>
      <c r="D12" s="12">
        <f>SUMIFS(Horas!$D$4:$D$19,Horas!$A$4:$A$19,$B$4,Horas!$B$4:$B$19,$A12)</f>
        <v>360</v>
      </c>
      <c r="E12" s="3">
        <f>VLOOKUP($B$3,Parámetros!$A$5:$C$8,2,FALSE)</f>
        <v>115</v>
      </c>
      <c r="F12" s="3">
        <f>C12*E12</f>
        <v>27600</v>
      </c>
      <c r="G12" s="3">
        <f>D12*VLOOKUP($B$3,Parámetros!$A$5:$C$8,3,FALSE)</f>
        <v>19800</v>
      </c>
      <c r="H12" s="3">
        <f>IF($B12="Sí",F12+G12,0)</f>
        <v>47400</v>
      </c>
    </row>
    <row r="13" spans="1:8" x14ac:dyDescent="0.3">
      <c r="A13" s="7" t="s">
        <v>74</v>
      </c>
      <c r="B13" s="12" t="s">
        <v>93</v>
      </c>
      <c r="C13" s="12">
        <f>SUMIFS(Horas!$C$4:$C$19,Horas!$A$4:$A$19,$B$4,Horas!$B$4:$B$19,$A13)</f>
        <v>323</v>
      </c>
      <c r="D13" s="12">
        <f>SUMIFS(Horas!$D$4:$D$19,Horas!$A$4:$A$19,$B$4,Horas!$B$4:$B$19,$A13)</f>
        <v>530</v>
      </c>
      <c r="E13" s="3">
        <f>VLOOKUP($B$3,Parámetros!$A$5:$C$8,2,FALSE)</f>
        <v>115</v>
      </c>
      <c r="F13" s="3">
        <f>C13*E13</f>
        <v>37145</v>
      </c>
      <c r="G13" s="3">
        <f>D13*VLOOKUP($B$3,Parámetros!$A$5:$C$8,3,FALSE)</f>
        <v>29150</v>
      </c>
      <c r="H13" s="3">
        <f>IF($B13="Sí",F13+G13,0)</f>
        <v>66295</v>
      </c>
    </row>
    <row r="15" spans="1:8" x14ac:dyDescent="0.3">
      <c r="A15" s="13" t="s">
        <v>94</v>
      </c>
      <c r="B15" s="14"/>
      <c r="C15" s="23">
        <f>SUMIF($B$10:$B$13,"Sí",C10:C13)</f>
        <v>869</v>
      </c>
      <c r="D15" s="23">
        <f>SUMIF($B$10:$B$13,"Sí",D10:D13)</f>
        <v>1340</v>
      </c>
      <c r="E15" s="14"/>
      <c r="F15" s="23">
        <f>SUMIF($B$10:$B$13,"Sí",F10:F13)</f>
        <v>99935</v>
      </c>
      <c r="G15" s="23">
        <f>SUMIF($B$10:$B$13,"Sí",G10:G13)</f>
        <v>73700</v>
      </c>
      <c r="H15" s="24">
        <f>SUM(H10:H13)</f>
        <v>173635</v>
      </c>
    </row>
    <row r="17" spans="1:8" x14ac:dyDescent="0.3">
      <c r="A17" s="10" t="s">
        <v>95</v>
      </c>
      <c r="C17" s="3">
        <f>H15</f>
        <v>173635</v>
      </c>
    </row>
    <row r="18" spans="1:8" x14ac:dyDescent="0.3">
      <c r="A18" s="10" t="s">
        <v>96</v>
      </c>
      <c r="C18" s="3">
        <f>H15*$B$6</f>
        <v>0</v>
      </c>
    </row>
    <row r="19" spans="1:8" ht="15.6" x14ac:dyDescent="0.3">
      <c r="A19" s="25" t="s">
        <v>97</v>
      </c>
      <c r="C19" s="26">
        <f>H15-C18</f>
        <v>173635</v>
      </c>
    </row>
    <row r="21" spans="1:8" ht="19.95" customHeight="1" x14ac:dyDescent="0.3">
      <c r="A21" s="31" t="s">
        <v>98</v>
      </c>
      <c r="B21" s="32"/>
      <c r="C21" s="32"/>
      <c r="D21" s="32"/>
      <c r="E21" s="32"/>
      <c r="F21" s="32"/>
      <c r="G21" s="32"/>
      <c r="H21" s="32"/>
    </row>
    <row r="22" spans="1:8" x14ac:dyDescent="0.3">
      <c r="A22" s="7" t="s">
        <v>99</v>
      </c>
      <c r="C22" s="3">
        <f>VLOOKUP($B$3,Parámetros!$A$12:$C$15,2,FALSE)</f>
        <v>30</v>
      </c>
    </row>
    <row r="23" spans="1:8" x14ac:dyDescent="0.3">
      <c r="A23" s="7" t="s">
        <v>100</v>
      </c>
      <c r="C23" s="3">
        <f>VLOOKUP($B$3,Parámetros!$A$12:$C$15,3,FALSE)</f>
        <v>18</v>
      </c>
    </row>
    <row r="24" spans="1:8" x14ac:dyDescent="0.3">
      <c r="A24" s="7" t="s">
        <v>101</v>
      </c>
      <c r="C24" s="3">
        <f>C15*C22+D15*C23</f>
        <v>50190</v>
      </c>
    </row>
    <row r="25" spans="1:8" x14ac:dyDescent="0.3">
      <c r="A25" s="7" t="s">
        <v>102</v>
      </c>
      <c r="C25" s="8">
        <f>Parámetros!$B$18+Parámetros!$B$19+Parámetros!$B$20+Parámetros!$B$21</f>
        <v>0.08</v>
      </c>
    </row>
    <row r="26" spans="1:8" x14ac:dyDescent="0.3">
      <c r="A26" s="7" t="s">
        <v>103</v>
      </c>
      <c r="C26" s="3">
        <f>C19*C25</f>
        <v>13890.800000000001</v>
      </c>
    </row>
    <row r="27" spans="1:8" x14ac:dyDescent="0.3">
      <c r="A27" s="7" t="s">
        <v>104</v>
      </c>
      <c r="C27" s="3">
        <f>C19*Parámetros!$B$23</f>
        <v>60772.249999999993</v>
      </c>
    </row>
    <row r="28" spans="1:8" x14ac:dyDescent="0.3">
      <c r="A28" s="13" t="s">
        <v>105</v>
      </c>
      <c r="C28" s="24">
        <f>C24+C26+C27</f>
        <v>124853.04999999999</v>
      </c>
    </row>
    <row r="29" spans="1:8" x14ac:dyDescent="0.3">
      <c r="A29" s="2" t="s">
        <v>106</v>
      </c>
      <c r="C29" s="3">
        <f>C19-C28</f>
        <v>48781.950000000012</v>
      </c>
    </row>
    <row r="30" spans="1:8" x14ac:dyDescent="0.3">
      <c r="A30" s="2" t="s">
        <v>107</v>
      </c>
      <c r="C30" s="8">
        <f>IF(C19=0,0,C29/C19)</f>
        <v>0.28094537391654917</v>
      </c>
    </row>
    <row r="31" spans="1:8" x14ac:dyDescent="0.3">
      <c r="A31" s="7" t="s">
        <v>108</v>
      </c>
      <c r="C31" s="8">
        <f>Parámetros!$B$24</f>
        <v>0.3</v>
      </c>
    </row>
    <row r="32" spans="1:8" x14ac:dyDescent="0.3">
      <c r="A32" s="2" t="s">
        <v>109</v>
      </c>
      <c r="C32" s="12" t="str">
        <f>IF(C30&gt;=C31,"✔ Cumple el objetivo","✖ Bajo el objetivo")</f>
        <v>✖ Bajo el objetivo</v>
      </c>
    </row>
  </sheetData>
  <mergeCells count="2">
    <mergeCell ref="A21:H21"/>
    <mergeCell ref="A1:H1"/>
  </mergeCells>
  <dataValidations count="2">
    <dataValidation type="list" sqref="B3" xr:uid="{00000000-0002-0000-0400-000000000000}">
      <formula1>"Oriental,Central,Centroccidental,Occidental"</formula1>
    </dataValidation>
    <dataValidation type="list" sqref="B10 B11 B12 B13" xr:uid="{00000000-0002-0000-0400-000002000000}">
      <formula1>"Sí,No"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1000000}">
          <x14:formula1>
            <xm:f>Parámetros!$E$29:$E$32</xm:f>
          </x14:formula1>
          <xm:sqref>B4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>
      <selection sqref="A1:E1"/>
    </sheetView>
  </sheetViews>
  <sheetFormatPr baseColWidth="10" defaultColWidth="8.88671875" defaultRowHeight="14.4" x14ac:dyDescent="0.3"/>
  <cols>
    <col min="1" max="1" width="34" customWidth="1"/>
    <col min="2" max="5" width="14" customWidth="1"/>
  </cols>
  <sheetData>
    <row r="1" spans="1:5" ht="24" customHeight="1" x14ac:dyDescent="0.3">
      <c r="A1" s="33" t="s">
        <v>110</v>
      </c>
      <c r="B1" s="32"/>
      <c r="C1" s="32"/>
      <c r="D1" s="32"/>
      <c r="E1" s="32"/>
    </row>
    <row r="3" spans="1:5" ht="30" customHeight="1" x14ac:dyDescent="0.3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</row>
    <row r="4" spans="1:5" x14ac:dyDescent="0.3">
      <c r="A4" s="7" t="s">
        <v>116</v>
      </c>
      <c r="B4" s="3">
        <v>400</v>
      </c>
      <c r="C4" s="3">
        <f>B4*3</f>
        <v>1200</v>
      </c>
      <c r="D4" s="3">
        <f>B4*6</f>
        <v>2400</v>
      </c>
      <c r="E4" s="3">
        <f>B4*12</f>
        <v>4800</v>
      </c>
    </row>
    <row r="5" spans="1:5" x14ac:dyDescent="0.3">
      <c r="A5" s="7" t="s">
        <v>117</v>
      </c>
      <c r="B5" s="3">
        <v>700</v>
      </c>
      <c r="C5" s="3">
        <f>B5*3</f>
        <v>2100</v>
      </c>
      <c r="D5" s="3">
        <f>B5*6</f>
        <v>4200</v>
      </c>
      <c r="E5" s="3">
        <f>B5*12</f>
        <v>8400</v>
      </c>
    </row>
    <row r="6" spans="1:5" x14ac:dyDescent="0.3">
      <c r="A6" s="7" t="s">
        <v>118</v>
      </c>
      <c r="B6" s="3">
        <v>1000</v>
      </c>
      <c r="C6" s="3">
        <f>B6*3</f>
        <v>3000</v>
      </c>
      <c r="D6" s="3">
        <f>B6*6</f>
        <v>6000</v>
      </c>
      <c r="E6" s="3">
        <f>B6*12</f>
        <v>12000</v>
      </c>
    </row>
    <row r="7" spans="1:5" x14ac:dyDescent="0.3">
      <c r="A7" s="7" t="s">
        <v>119</v>
      </c>
      <c r="B7" s="3">
        <v>1500</v>
      </c>
      <c r="C7" s="3">
        <f>B7*3</f>
        <v>4500</v>
      </c>
      <c r="D7" s="3">
        <f>B7*6</f>
        <v>9000</v>
      </c>
      <c r="E7" s="3">
        <f>B7*12</f>
        <v>18000</v>
      </c>
    </row>
    <row r="9" spans="1:5" ht="19.95" customHeight="1" x14ac:dyDescent="0.3">
      <c r="A9" s="31" t="s">
        <v>120</v>
      </c>
      <c r="B9" s="32"/>
      <c r="C9" s="32"/>
      <c r="D9" s="32"/>
      <c r="E9" s="32"/>
    </row>
    <row r="10" spans="1:5" x14ac:dyDescent="0.3">
      <c r="A10" s="7" t="s">
        <v>121</v>
      </c>
      <c r="B10" s="20" t="s">
        <v>116</v>
      </c>
    </row>
    <row r="11" spans="1:5" x14ac:dyDescent="0.3">
      <c r="A11" s="7" t="s">
        <v>122</v>
      </c>
      <c r="B11" s="20" t="s">
        <v>112</v>
      </c>
    </row>
    <row r="12" spans="1:5" x14ac:dyDescent="0.3">
      <c r="A12" s="2" t="s">
        <v>123</v>
      </c>
      <c r="B12" s="27">
        <f>INDEX($B$4:$E$7,MATCH($B$10,$A$4:$A$7,0),MATCH($B$11,$B$3:$E$3,0))</f>
        <v>400</v>
      </c>
    </row>
    <row r="13" spans="1:5" x14ac:dyDescent="0.3">
      <c r="A13" s="7" t="s">
        <v>124</v>
      </c>
      <c r="B13" s="3">
        <f>3*INDEX($B$4:$B$7,MATCH($B$10,$A$4:$A$7,0))</f>
        <v>1200</v>
      </c>
    </row>
    <row r="14" spans="1:5" x14ac:dyDescent="0.3">
      <c r="A14" s="7" t="s">
        <v>125</v>
      </c>
      <c r="B14" s="9">
        <f>B13/55</f>
        <v>21.818181818181817</v>
      </c>
    </row>
    <row r="16" spans="1:5" x14ac:dyDescent="0.3">
      <c r="A16" s="6" t="s">
        <v>126</v>
      </c>
    </row>
  </sheetData>
  <mergeCells count="2">
    <mergeCell ref="A1:E1"/>
    <mergeCell ref="A9:E9"/>
  </mergeCells>
  <dataValidations count="2">
    <dataValidation type="list" sqref="B10" xr:uid="{00000000-0002-0000-0500-000000000000}">
      <formula1>"Hasta 30,31 a 60,61 a 120,Más de 120"</formula1>
    </dataValidation>
    <dataValidation type="list" sqref="B11" xr:uid="{00000000-0002-0000-0500-000001000000}">
      <formula1>"Mensual,Trimestral,Semestral,Anual"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1"/>
  <sheetViews>
    <sheetView topLeftCell="A16" workbookViewId="0">
      <selection activeCell="C32" sqref="C32"/>
    </sheetView>
  </sheetViews>
  <sheetFormatPr baseColWidth="10" defaultColWidth="8.88671875" defaultRowHeight="14.4" x14ac:dyDescent="0.3"/>
  <cols>
    <col min="1" max="1" width="44" customWidth="1"/>
    <col min="2" max="3" width="16" customWidth="1"/>
    <col min="4" max="4" width="40" customWidth="1"/>
  </cols>
  <sheetData>
    <row r="1" spans="1:4" ht="24" customHeight="1" x14ac:dyDescent="0.3">
      <c r="A1" s="33" t="s">
        <v>127</v>
      </c>
      <c r="B1" s="32"/>
      <c r="C1" s="32"/>
      <c r="D1" s="32"/>
    </row>
    <row r="3" spans="1:4" ht="19.95" customHeight="1" x14ac:dyDescent="0.3">
      <c r="A3" s="31" t="s">
        <v>128</v>
      </c>
      <c r="B3" s="32"/>
      <c r="C3" s="32"/>
      <c r="D3" s="32"/>
    </row>
    <row r="4" spans="1:4" x14ac:dyDescent="0.3">
      <c r="A4" s="7" t="s">
        <v>129</v>
      </c>
      <c r="C4" s="28">
        <v>32000</v>
      </c>
    </row>
    <row r="5" spans="1:4" x14ac:dyDescent="0.3">
      <c r="A5" s="7" t="s">
        <v>130</v>
      </c>
      <c r="C5" s="20">
        <v>187</v>
      </c>
    </row>
    <row r="6" spans="1:4" x14ac:dyDescent="0.3">
      <c r="A6" s="7" t="s">
        <v>131</v>
      </c>
      <c r="C6" s="20">
        <v>275</v>
      </c>
    </row>
    <row r="7" spans="1:4" x14ac:dyDescent="0.3">
      <c r="A7" s="7" t="s">
        <v>132</v>
      </c>
      <c r="C7" s="28">
        <v>30</v>
      </c>
    </row>
    <row r="8" spans="1:4" x14ac:dyDescent="0.3">
      <c r="A8" s="7" t="s">
        <v>100</v>
      </c>
      <c r="C8" s="28">
        <v>18</v>
      </c>
    </row>
    <row r="9" spans="1:4" x14ac:dyDescent="0.3">
      <c r="A9" s="7" t="s">
        <v>133</v>
      </c>
      <c r="C9" s="12">
        <f>C5+C6</f>
        <v>462</v>
      </c>
    </row>
    <row r="11" spans="1:4" ht="30" customHeight="1" x14ac:dyDescent="0.3">
      <c r="A11" s="1" t="s">
        <v>134</v>
      </c>
      <c r="B11" s="1" t="s">
        <v>135</v>
      </c>
      <c r="C11" s="1" t="s">
        <v>136</v>
      </c>
      <c r="D11" s="1" t="s">
        <v>17</v>
      </c>
    </row>
    <row r="12" spans="1:4" x14ac:dyDescent="0.3">
      <c r="A12" s="7" t="s">
        <v>137</v>
      </c>
      <c r="B12" s="7"/>
      <c r="C12" s="3">
        <f>C5*C7</f>
        <v>5610</v>
      </c>
      <c r="D12" s="4" t="s">
        <v>138</v>
      </c>
    </row>
    <row r="13" spans="1:4" x14ac:dyDescent="0.3">
      <c r="A13" s="7" t="s">
        <v>139</v>
      </c>
      <c r="B13" s="7"/>
      <c r="C13" s="3">
        <f>C6*C8</f>
        <v>4950</v>
      </c>
      <c r="D13" s="4" t="s">
        <v>138</v>
      </c>
    </row>
    <row r="14" spans="1:4" x14ac:dyDescent="0.3">
      <c r="A14" s="7" t="s">
        <v>140</v>
      </c>
      <c r="B14" s="8">
        <f>Parámetros!$B$18</f>
        <v>0.01</v>
      </c>
      <c r="C14" s="3">
        <f t="shared" ref="C14:C19" si="0">$C$4*B14</f>
        <v>320</v>
      </c>
      <c r="D14" s="4" t="s">
        <v>141</v>
      </c>
    </row>
    <row r="15" spans="1:4" x14ac:dyDescent="0.3">
      <c r="A15" s="7" t="s">
        <v>142</v>
      </c>
      <c r="B15" s="8">
        <f>Parámetros!$B$19</f>
        <v>0.03</v>
      </c>
      <c r="C15" s="3">
        <f t="shared" si="0"/>
        <v>960</v>
      </c>
      <c r="D15" s="4" t="s">
        <v>143</v>
      </c>
    </row>
    <row r="16" spans="1:4" x14ac:dyDescent="0.3">
      <c r="A16" s="7" t="s">
        <v>144</v>
      </c>
      <c r="B16" s="8">
        <f>Parámetros!$B$20</f>
        <v>0.01</v>
      </c>
      <c r="C16" s="3">
        <f t="shared" si="0"/>
        <v>320</v>
      </c>
      <c r="D16" s="4" t="s">
        <v>141</v>
      </c>
    </row>
    <row r="17" spans="1:4" x14ac:dyDescent="0.3">
      <c r="A17" s="7" t="s">
        <v>145</v>
      </c>
      <c r="B17" s="8">
        <f>Parámetros!$B$21</f>
        <v>0.03</v>
      </c>
      <c r="C17" s="3">
        <f t="shared" si="0"/>
        <v>960</v>
      </c>
      <c r="D17" s="4" t="s">
        <v>143</v>
      </c>
    </row>
    <row r="18" spans="1:4" x14ac:dyDescent="0.3">
      <c r="A18" s="7" t="s">
        <v>146</v>
      </c>
      <c r="B18" s="8">
        <f>Parámetros!$B$22</f>
        <v>0.1</v>
      </c>
      <c r="C18" s="3">
        <f t="shared" si="0"/>
        <v>3200</v>
      </c>
      <c r="D18" s="4" t="s">
        <v>147</v>
      </c>
    </row>
    <row r="19" spans="1:4" x14ac:dyDescent="0.3">
      <c r="A19" s="7" t="s">
        <v>148</v>
      </c>
      <c r="B19" s="8">
        <v>0</v>
      </c>
      <c r="C19" s="3">
        <f t="shared" si="0"/>
        <v>0</v>
      </c>
      <c r="D19" s="4" t="s">
        <v>149</v>
      </c>
    </row>
    <row r="20" spans="1:4" x14ac:dyDescent="0.3">
      <c r="A20" s="13" t="s">
        <v>150</v>
      </c>
      <c r="B20" s="14"/>
      <c r="C20" s="24">
        <f>SUM(C12:C19)</f>
        <v>16320</v>
      </c>
      <c r="D20" s="14"/>
    </row>
    <row r="22" spans="1:4" ht="30" customHeight="1" x14ac:dyDescent="0.3">
      <c r="A22" s="1" t="s">
        <v>151</v>
      </c>
      <c r="B22" s="1" t="s">
        <v>135</v>
      </c>
      <c r="C22" s="1" t="s">
        <v>136</v>
      </c>
      <c r="D22" s="1" t="s">
        <v>17</v>
      </c>
    </row>
    <row r="23" spans="1:4" x14ac:dyDescent="0.3">
      <c r="A23" s="7" t="s">
        <v>152</v>
      </c>
      <c r="B23" s="8">
        <v>0.25</v>
      </c>
      <c r="C23" s="3">
        <f t="shared" ref="C23:C29" si="1">$C$4*B23</f>
        <v>8000</v>
      </c>
      <c r="D23" s="4" t="s">
        <v>153</v>
      </c>
    </row>
    <row r="24" spans="1:4" x14ac:dyDescent="0.3">
      <c r="A24" s="7" t="s">
        <v>154</v>
      </c>
      <c r="B24" s="8">
        <v>0.1</v>
      </c>
      <c r="C24" s="3">
        <f t="shared" si="1"/>
        <v>3200</v>
      </c>
      <c r="D24" s="4" t="s">
        <v>155</v>
      </c>
    </row>
    <row r="25" spans="1:4" x14ac:dyDescent="0.3">
      <c r="A25" s="7" t="s">
        <v>156</v>
      </c>
      <c r="B25" s="8">
        <v>2.5000000000000001E-2</v>
      </c>
      <c r="C25" s="3">
        <f t="shared" si="1"/>
        <v>800</v>
      </c>
      <c r="D25" s="4" t="s">
        <v>157</v>
      </c>
    </row>
    <row r="26" spans="1:4" x14ac:dyDescent="0.3">
      <c r="A26" s="7" t="s">
        <v>158</v>
      </c>
      <c r="B26" s="8">
        <v>0.03</v>
      </c>
      <c r="C26" s="3">
        <f t="shared" si="1"/>
        <v>960</v>
      </c>
      <c r="D26" s="4" t="s">
        <v>143</v>
      </c>
    </row>
    <row r="27" spans="1:4" x14ac:dyDescent="0.3">
      <c r="A27" s="7" t="s">
        <v>159</v>
      </c>
      <c r="B27" s="8">
        <v>1.4999999999999999E-2</v>
      </c>
      <c r="C27" s="3">
        <f t="shared" si="1"/>
        <v>480</v>
      </c>
      <c r="D27" s="4" t="s">
        <v>160</v>
      </c>
    </row>
    <row r="28" spans="1:4" x14ac:dyDescent="0.3">
      <c r="A28" s="7" t="s">
        <v>161</v>
      </c>
      <c r="B28" s="8">
        <v>0.02</v>
      </c>
      <c r="C28" s="3">
        <f t="shared" si="1"/>
        <v>640</v>
      </c>
      <c r="D28" s="4" t="s">
        <v>162</v>
      </c>
    </row>
    <row r="29" spans="1:4" x14ac:dyDescent="0.3">
      <c r="A29" s="7" t="s">
        <v>163</v>
      </c>
      <c r="B29" s="8">
        <v>0.02</v>
      </c>
      <c r="C29" s="3">
        <f t="shared" si="1"/>
        <v>640</v>
      </c>
      <c r="D29" s="4" t="s">
        <v>162</v>
      </c>
    </row>
    <row r="30" spans="1:4" x14ac:dyDescent="0.3">
      <c r="A30" s="13" t="s">
        <v>164</v>
      </c>
      <c r="B30" s="14"/>
      <c r="C30" s="24">
        <f>SUM(C23:C29)</f>
        <v>14720</v>
      </c>
      <c r="D30" s="14"/>
    </row>
    <row r="32" spans="1:4" x14ac:dyDescent="0.3">
      <c r="A32" s="16" t="s">
        <v>165</v>
      </c>
      <c r="C32" s="29">
        <f>C20+C30</f>
        <v>31040</v>
      </c>
    </row>
    <row r="33" spans="1:4" x14ac:dyDescent="0.3">
      <c r="A33" s="16" t="s">
        <v>166</v>
      </c>
      <c r="C33" s="29">
        <f>C4-C32</f>
        <v>960</v>
      </c>
    </row>
    <row r="34" spans="1:4" x14ac:dyDescent="0.3">
      <c r="A34" s="2" t="s">
        <v>167</v>
      </c>
      <c r="C34" s="8">
        <f>IF(C4=0,0,C33/C4)</f>
        <v>0.03</v>
      </c>
    </row>
    <row r="37" spans="1:4" ht="30" customHeight="1" x14ac:dyDescent="0.3">
      <c r="A37" s="1" t="s">
        <v>168</v>
      </c>
      <c r="B37" s="1" t="s">
        <v>169</v>
      </c>
      <c r="C37" s="1" t="s">
        <v>170</v>
      </c>
      <c r="D37" s="1" t="s">
        <v>171</v>
      </c>
    </row>
    <row r="38" spans="1:4" ht="28.8" x14ac:dyDescent="0.3">
      <c r="A38" s="7" t="s">
        <v>172</v>
      </c>
      <c r="B38" s="3">
        <v>2200</v>
      </c>
      <c r="C38" s="3">
        <v>2600</v>
      </c>
      <c r="D38" s="4" t="s">
        <v>173</v>
      </c>
    </row>
    <row r="39" spans="1:4" ht="28.8" x14ac:dyDescent="0.3">
      <c r="A39" s="7" t="s">
        <v>174</v>
      </c>
      <c r="B39" s="3">
        <v>10200</v>
      </c>
      <c r="C39" s="3">
        <v>11200</v>
      </c>
      <c r="D39" s="4" t="s">
        <v>175</v>
      </c>
    </row>
    <row r="40" spans="1:4" x14ac:dyDescent="0.3">
      <c r="A40" s="7" t="s">
        <v>176</v>
      </c>
      <c r="B40" s="3">
        <v>600</v>
      </c>
      <c r="C40" s="3">
        <v>960</v>
      </c>
      <c r="D40" s="4" t="s">
        <v>177</v>
      </c>
    </row>
    <row r="41" spans="1:4" x14ac:dyDescent="0.3">
      <c r="A41" s="7" t="s">
        <v>178</v>
      </c>
      <c r="B41" s="3">
        <v>700</v>
      </c>
      <c r="C41" s="3">
        <v>184</v>
      </c>
      <c r="D41" s="4" t="s">
        <v>179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1"/>
  <sheetViews>
    <sheetView workbookViewId="0"/>
  </sheetViews>
  <sheetFormatPr baseColWidth="10" defaultColWidth="8.88671875" defaultRowHeight="14.4" x14ac:dyDescent="0.3"/>
  <cols>
    <col min="1" max="1" width="120" customWidth="1"/>
  </cols>
  <sheetData>
    <row r="1" spans="1:1" ht="24" customHeight="1" x14ac:dyDescent="0.3">
      <c r="A1" s="33" t="s">
        <v>180</v>
      </c>
    </row>
    <row r="2" spans="1:1" x14ac:dyDescent="0.3">
      <c r="A2" s="30"/>
    </row>
    <row r="3" spans="1:1" x14ac:dyDescent="0.3">
      <c r="A3" s="30" t="s">
        <v>181</v>
      </c>
    </row>
    <row r="4" spans="1:1" x14ac:dyDescent="0.3">
      <c r="A4" s="30"/>
    </row>
    <row r="5" spans="1:1" x14ac:dyDescent="0.3">
      <c r="A5" s="30" t="s">
        <v>182</v>
      </c>
    </row>
    <row r="6" spans="1:1" x14ac:dyDescent="0.3">
      <c r="A6" s="30" t="s">
        <v>183</v>
      </c>
    </row>
    <row r="7" spans="1:1" x14ac:dyDescent="0.3">
      <c r="A7" s="30"/>
    </row>
    <row r="8" spans="1:1" x14ac:dyDescent="0.3">
      <c r="A8" s="30" t="s">
        <v>184</v>
      </c>
    </row>
    <row r="9" spans="1:1" x14ac:dyDescent="0.3">
      <c r="A9" s="30" t="s">
        <v>185</v>
      </c>
    </row>
    <row r="10" spans="1:1" x14ac:dyDescent="0.3">
      <c r="A10" s="30" t="s">
        <v>186</v>
      </c>
    </row>
    <row r="11" spans="1:1" x14ac:dyDescent="0.3">
      <c r="A11" s="30" t="s">
        <v>187</v>
      </c>
    </row>
    <row r="12" spans="1:1" x14ac:dyDescent="0.3">
      <c r="A12" s="30"/>
    </row>
    <row r="13" spans="1:1" x14ac:dyDescent="0.3">
      <c r="A13" s="30" t="s">
        <v>188</v>
      </c>
    </row>
    <row r="14" spans="1:1" x14ac:dyDescent="0.3">
      <c r="A14" s="30"/>
    </row>
    <row r="15" spans="1:1" x14ac:dyDescent="0.3">
      <c r="A15" s="30" t="s">
        <v>189</v>
      </c>
    </row>
    <row r="16" spans="1:1" x14ac:dyDescent="0.3">
      <c r="A16" s="30" t="s">
        <v>190</v>
      </c>
    </row>
    <row r="17" spans="1:1" x14ac:dyDescent="0.3">
      <c r="A17" s="30"/>
    </row>
    <row r="18" spans="1:1" x14ac:dyDescent="0.3">
      <c r="A18" s="30" t="s">
        <v>191</v>
      </c>
    </row>
    <row r="19" spans="1:1" x14ac:dyDescent="0.3">
      <c r="A19" s="30" t="s">
        <v>192</v>
      </c>
    </row>
    <row r="20" spans="1:1" x14ac:dyDescent="0.3">
      <c r="A20" s="30"/>
    </row>
    <row r="21" spans="1:1" x14ac:dyDescent="0.3">
      <c r="A21" s="30" t="s">
        <v>193</v>
      </c>
    </row>
    <row r="22" spans="1:1" x14ac:dyDescent="0.3">
      <c r="A22" s="30"/>
    </row>
    <row r="23" spans="1:1" x14ac:dyDescent="0.3">
      <c r="A23" s="30" t="s">
        <v>194</v>
      </c>
    </row>
    <row r="24" spans="1:1" x14ac:dyDescent="0.3">
      <c r="A24" s="30"/>
    </row>
    <row r="25" spans="1:1" x14ac:dyDescent="0.3">
      <c r="A25" s="30" t="s">
        <v>195</v>
      </c>
    </row>
    <row r="26" spans="1:1" x14ac:dyDescent="0.3">
      <c r="A26" s="30" t="s">
        <v>196</v>
      </c>
    </row>
    <row r="27" spans="1:1" x14ac:dyDescent="0.3">
      <c r="A27" s="30" t="s">
        <v>197</v>
      </c>
    </row>
    <row r="28" spans="1:1" x14ac:dyDescent="0.3">
      <c r="A28" s="30" t="s">
        <v>198</v>
      </c>
    </row>
    <row r="29" spans="1:1" x14ac:dyDescent="0.3">
      <c r="A29" s="30" t="s">
        <v>199</v>
      </c>
    </row>
    <row r="30" spans="1:1" x14ac:dyDescent="0.3">
      <c r="A30" s="30"/>
    </row>
    <row r="31" spans="1:1" x14ac:dyDescent="0.3">
      <c r="A31" s="30" t="s">
        <v>200</v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Parámetros</vt:lpstr>
      <vt:lpstr>Detalle30</vt:lpstr>
      <vt:lpstr>Horas</vt:lpstr>
      <vt:lpstr>MatrizPrecios</vt:lpstr>
      <vt:lpstr>Cotizador</vt:lpstr>
      <vt:lpstr>Mantenimiento</vt:lpstr>
      <vt:lpstr>Costos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Wilmer Jose Briceño Rincones</cp:lastModifiedBy>
  <dcterms:created xsi:type="dcterms:W3CDTF">2026-10-08T19:36:38Z</dcterms:created>
  <dcterms:modified xsi:type="dcterms:W3CDTF">2026-10-08T20:03:49Z</dcterms:modified>
</cp:coreProperties>
</file>